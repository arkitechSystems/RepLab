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" state="visible" r:id="rId4"/>
    <sheet sheetId="2" name="Workout 1" state="visible" r:id="rId5"/>
    <sheet sheetId="3" name="Workout 2" state="visible" r:id="rId6"/>
    <sheet sheetId="4" name="Workout 3" state="visible" r:id="rId7"/>
    <sheet sheetId="5" name="Workout 4" state="visible" r:id="rId8"/>
    <sheet sheetId="6" name="Workout 5" state="visible" r:id="rId9"/>
    <sheet sheetId="7" name="Workout 6" state="visible" r:id="rId10"/>
    <sheet sheetId="8" name="Workout 7" state="visible" r:id="rId11"/>
    <sheet sheetId="9" name="Workout 8" state="visible" r:id="rId12"/>
    <sheet sheetId="10" name="Workout 9" state="visible" r:id="rId13"/>
    <sheet sheetId="11" name="Workout 10" state="visible" r:id="rId14"/>
    <sheet sheetId="12" name="Workout 11" state="visible" r:id="rId15"/>
    <sheet sheetId="13" name="Workout 12" state="visible" r:id="rId16"/>
    <sheet sheetId="14" name="Schedule" state="visible" r:id="rId17"/>
    <sheet sheetId="15" name="Exercise Library" state="visible" r:id="rId18"/>
    <sheet sheetId="16" name="Lists" state="hidden" r:id="rId19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B6" authorId="0">
      <text>
        <r>
          <t>Optional. Type a header ("Warm-Up", "Main Lifts") on its own row, above the exercises it covers. Leave the rest of the row blank except Coach Notes.</t>
        </r>
      </text>
    </comment>
    <comment ref="C6" authorId="0">
      <text>
        <r>
          <t>Pick from the RepLab exercise library (type to search). Library exercises come with demo videos.</t>
        </r>
      </text>
    </comment>
    <comment ref="D6" authorId="0">
      <text>
        <r>
          <t>Only if the exercise is not in the library. Leave Library Exercise blank.</t>
        </r>
      </text>
    </comment>
    <comment ref="E6" authorId="0">
      <text>
        <r>
          <t>Required for a custom exercise.</t>
        </r>
      </text>
    </comment>
    <comment ref="F6" authorId="0">
      <text>
        <r>
          <t>Optional. Same letter = same superset (A, B, …). Paired in the order listed.</t>
        </r>
      </text>
    </comment>
    <comment ref="G6" authorId="0">
      <text>
        <r>
          <t>Blank = Regular (or Super Set when a Superset letter is set).</t>
        </r>
      </text>
    </comment>
    <comment ref="H6" authorId="0">
      <text>
        <r>
          <t>Number of sets of this type (1–20).</t>
        </r>
      </text>
    </comment>
    <comment ref="I6" authorId="0">
      <text>
        <r>
          <t>Goal reps per set.</t>
        </r>
      </text>
    </comment>
    <comment ref="J6" authorId="0">
      <text>
        <r>
          <t>Optional, e.g. 8-12.</t>
        </r>
      </text>
    </comment>
    <comment ref="K6" authorId="0">
      <text>
        <r>
          <t>Optional goal weight per set. Blank = bodyweight / client chooses.</t>
        </r>
      </text>
    </comment>
    <comment ref="L6" authorId="0">
      <text>
        <r>
          <t>Optional cues for the client (tempo, rest, form). On a section header row: notes for that section.</t>
        </r>
      </text>
    </comment>
    <comment ref="M6" authorId="0">
      <text>
        <r>
          <t>Automatic. Fix anything marked ⚠.</t>
        </r>
      </text>
    </comment>
  </commentList>
</comments>
</file>

<file path=xl/sharedStrings.xml><?xml version="1.0" encoding="utf-8"?>
<sst xmlns="http://schemas.openxmlformats.org/spreadsheetml/2006/main" count="1271" uniqueCount="459">
  <si>
    <t>RepLab Workout &amp; Program Template</t>
  </si>
  <si>
    <t>Build a workout or a full program here, then upload this file in Trainer Central. Yellow cells are for you to fill in.</t>
  </si>
  <si>
    <t>QUESTIONS</t>
  </si>
  <si>
    <t>1. What are you creating?</t>
  </si>
  <si>
    <t>2. Program name</t>
  </si>
  <si>
    <t>3. Program description (optional)</t>
  </si>
  <si>
    <t>4. Program type</t>
  </si>
  <si>
    <t>5. How many weeks? (1–52)</t>
  </si>
  <si>
    <t>6. How many different workouts? (1–12)</t>
  </si>
  <si>
    <t>7. Created by (optional)</t>
  </si>
  <si>
    <t>SHEETS TO FILL OUT</t>
  </si>
  <si>
    <t>Sheet</t>
  </si>
  <si>
    <t>Status</t>
  </si>
  <si>
    <t>Problems</t>
  </si>
  <si>
    <t>Workout 1</t>
  </si>
  <si>
    <t>Workout 2</t>
  </si>
  <si>
    <t>Workout 3</t>
  </si>
  <si>
    <t>Workout 4</t>
  </si>
  <si>
    <t>Workout 5</t>
  </si>
  <si>
    <t>Workout 6</t>
  </si>
  <si>
    <t>Workout 7</t>
  </si>
  <si>
    <t>Workout 8</t>
  </si>
  <si>
    <t>Workout 9</t>
  </si>
  <si>
    <t>Workout 10</t>
  </si>
  <si>
    <t>Workout 11</t>
  </si>
  <si>
    <t>Workout 12</t>
  </si>
  <si>
    <t>Schedule</t>
  </si>
  <si>
    <t>Exercise Library</t>
  </si>
  <si>
    <t>REFERENCE</t>
  </si>
  <si>
    <t>Look up exercises — no need to edit</t>
  </si>
  <si>
    <t>READY TO UPLOAD?</t>
  </si>
  <si>
    <t>HOW IT WORKS</t>
  </si>
  <si>
    <t>1. Answer the questions above. The list of sheets turns GREEN for sheets you need to fill out and RED for sheets you can skip.</t>
  </si>
  <si>
    <t>2. On each green Workout sheet: give the workout a name, then add one row per exercise.</t>
  </si>
  <si>
    <t>3. Pick exercises from the Library dropdown (type to search) so clients get the demo video. Not in the library? Leave Library blank and type it in Custom Exercise with a muscle group.</t>
  </si>
  <si>
    <t>4. Sets, Goal Reps and Goal Weight become the goal columns clients see in the app. Goal Weight is in lbs; leave it blank for bodyweight.</t>
  </si>
  <si>
    <t>5. Different set types for one exercise (e.g. 2 warm-up sets, then 3 regular sets): use one row per set type, same exercise, one after another.</t>
  </si>
  <si>
    <t>6. Supersets: give the exercises the same Superset letter (A, B, …). They are paired in the order listed (A1, A2, …).</t>
  </si>
  <si>
    <t>7. Section headers ("Warm-Up", "Finisher"…): type the header in Section Header on its own row, above the exercises it covers. Coach Notes on that row become the section notes.</t>
  </si>
  <si>
    <t>8. Program: on the Schedule sheet pick a workout or REST for each of the 7 days, for every week. Tip: fill Week 1, then copy it down.</t>
  </si>
  <si>
    <t>9. Fix anything marked ⚠, check READY TO UPLOAD above, then upload the file in Trainer Central.</t>
  </si>
  <si>
    <t>Google Sheets: File → Import, or upload to Drive and open with Google Sheets. Download as .xlsx before uploading to RepLab.</t>
  </si>
  <si>
    <t>Workout name</t>
  </si>
  <si>
    <t>Workout notes</t>
  </si>
  <si>
    <t>One row per exercise (or per set type). Hover over a column title for help.</t>
  </si>
  <si>
    <t>#</t>
  </si>
  <si>
    <t>Section Header</t>
  </si>
  <si>
    <t>Library Exercise</t>
  </si>
  <si>
    <t>Custom Exercise</t>
  </si>
  <si>
    <t>Custom Muscle Group</t>
  </si>
  <si>
    <t>Superset</t>
  </si>
  <si>
    <t>Set Type</t>
  </si>
  <si>
    <t>Sets</t>
  </si>
  <si>
    <t>Goal Reps</t>
  </si>
  <si>
    <t>Rep Range</t>
  </si>
  <si>
    <t>Goal Weight (lbs)</t>
  </si>
  <si>
    <t>Coach Notes</t>
  </si>
  <si>
    <t>Check</t>
  </si>
  <si>
    <t>For each week, pick a workout (by the name you gave it) or REST for all 7 days. Day 1 is the day the client starts the program. Tip: fill Week 1, then copy it down.</t>
  </si>
  <si>
    <t>Week</t>
  </si>
  <si>
    <t>Day 1</t>
  </si>
  <si>
    <t>Day 2</t>
  </si>
  <si>
    <t>Day 3</t>
  </si>
  <si>
    <t>Day 4</t>
  </si>
  <si>
    <t>Day 5</t>
  </si>
  <si>
    <t>Day 6</t>
  </si>
  <si>
    <t>Day 7</t>
  </si>
  <si>
    <t>ID</t>
  </si>
  <si>
    <t>Exercise</t>
  </si>
  <si>
    <t>Muscle Group</t>
  </si>
  <si>
    <t>Demo Video</t>
  </si>
  <si>
    <t>1 Arm Lat Pull-In</t>
  </si>
  <si>
    <t>Back</t>
  </si>
  <si>
    <t>Yes</t>
  </si>
  <si>
    <t>Ab Crunch Machine</t>
  </si>
  <si>
    <t>Core</t>
  </si>
  <si>
    <t>Ab Wheel Rollout</t>
  </si>
  <si>
    <t>Alternating Dumbbell Shoulder Press (Standing)</t>
  </si>
  <si>
    <t>Shoulders</t>
  </si>
  <si>
    <t>Arnold Press</t>
  </si>
  <si>
    <t>Assault/Air Bike</t>
  </si>
  <si>
    <t>Conditioning</t>
  </si>
  <si>
    <t>Assisted Machine Dip</t>
  </si>
  <si>
    <t>Triceps</t>
  </si>
  <si>
    <t>Assisted Pull-Up Machine</t>
  </si>
  <si>
    <t>Back Hyperextension</t>
  </si>
  <si>
    <t>Back Squat</t>
  </si>
  <si>
    <t>Quads</t>
  </si>
  <si>
    <t>Band Curls</t>
  </si>
  <si>
    <t>Biceps</t>
  </si>
  <si>
    <t>Band High Pulls</t>
  </si>
  <si>
    <t>Band Pushups</t>
  </si>
  <si>
    <t>Chest</t>
  </si>
  <si>
    <t>Band Shoulder Press</t>
  </si>
  <si>
    <t>Band Triceps Extensions</t>
  </si>
  <si>
    <t>Banded Abductions</t>
  </si>
  <si>
    <t>Glutes</t>
  </si>
  <si>
    <t>Banded Barbell B-Stance Hip Thrust</t>
  </si>
  <si>
    <t>Banded Barbell Glute Bridge</t>
  </si>
  <si>
    <t>Banded Barbell Glute Bridge B-Stance</t>
  </si>
  <si>
    <t>Banded Barbell Hip Thrust</t>
  </si>
  <si>
    <t>Banded Barbell Hip Thrust Dropset</t>
  </si>
  <si>
    <t>Banded Bodyweight Hip Thrust</t>
  </si>
  <si>
    <t>Banded Close-Grip DB Bench</t>
  </si>
  <si>
    <t>Banded Lateral Raise</t>
  </si>
  <si>
    <t>Banded Seated Abduction</t>
  </si>
  <si>
    <t>Banded Shoulder Press</t>
  </si>
  <si>
    <t>Barbell Bench Press</t>
  </si>
  <si>
    <t>Barbell Bent Over Row</t>
  </si>
  <si>
    <t>Barbell Curl</t>
  </si>
  <si>
    <t>Barbell Floor Skull Crusher</t>
  </si>
  <si>
    <t>Barbell Front Raise</t>
  </si>
  <si>
    <t>Barbell Hip Thrust</t>
  </si>
  <si>
    <t>Barbell Lunges</t>
  </si>
  <si>
    <t>Barbell Preacher Curl</t>
  </si>
  <si>
    <t>Barbell Romanian Deadlift</t>
  </si>
  <si>
    <t>Hamstrings</t>
  </si>
  <si>
    <t>Barbell Shoulder Press</t>
  </si>
  <si>
    <t>Barbell Shrug</t>
  </si>
  <si>
    <t>Traps</t>
  </si>
  <si>
    <t>Barbell Sumo Deadlift</t>
  </si>
  <si>
    <t>Barbell Wrist Curl</t>
  </si>
  <si>
    <t>Forearms</t>
  </si>
  <si>
    <t>Battle Ropes</t>
  </si>
  <si>
    <t>Bayesian Cable Curl</t>
  </si>
  <si>
    <t>Behind-The-Back Wrist Curl</t>
  </si>
  <si>
    <t>Behind-The-Neck Pulldown</t>
  </si>
  <si>
    <t>Belt Squat</t>
  </si>
  <si>
    <t>Bench Dips</t>
  </si>
  <si>
    <t>Bicycle Crunch</t>
  </si>
  <si>
    <t>Bird Dog</t>
  </si>
  <si>
    <t>Bodyweight Triceps Extensions</t>
  </si>
  <si>
    <t>Box Jumps</t>
  </si>
  <si>
    <t>Box Squat</t>
  </si>
  <si>
    <t>Bulgarian Split Squat</t>
  </si>
  <si>
    <t>Burpees</t>
  </si>
  <si>
    <t>Cable Chest Flye</t>
  </si>
  <si>
    <t>Cable Chest Flye (High-to-Low)</t>
  </si>
  <si>
    <t>Cable Chest Flye (Low-to-High)</t>
  </si>
  <si>
    <t>Cable Crossover</t>
  </si>
  <si>
    <t>Cable Crossover From Low Pulley</t>
  </si>
  <si>
    <t>Cable Crunch</t>
  </si>
  <si>
    <t>Cable Curl</t>
  </si>
  <si>
    <t>Cable Front Raise</t>
  </si>
  <si>
    <t>Cable Glute Kickback</t>
  </si>
  <si>
    <t>Cable Hip Abduction</t>
  </si>
  <si>
    <t>Cable Hip Adduction</t>
  </si>
  <si>
    <t>Adductors</t>
  </si>
  <si>
    <t>Cable Lateral Raise</t>
  </si>
  <si>
    <t>Cable Pull-Through</t>
  </si>
  <si>
    <t>Cable Reverse Flye</t>
  </si>
  <si>
    <t>Cable Seated Elbows Out Row</t>
  </si>
  <si>
    <t>Cable Shrugs</t>
  </si>
  <si>
    <t>Cable Straight-Arm Pulldown</t>
  </si>
  <si>
    <t>Cable Tricep Extensions</t>
  </si>
  <si>
    <t>Cable Tricep Pushdown</t>
  </si>
  <si>
    <t>Cable Triceps Kickback</t>
  </si>
  <si>
    <t>Cable Woodchopper</t>
  </si>
  <si>
    <t>Cable Wrist Curl</t>
  </si>
  <si>
    <t>Cable Y-Raise</t>
  </si>
  <si>
    <t>Chest Dips</t>
  </si>
  <si>
    <t>Chest-Supported Row</t>
  </si>
  <si>
    <t>Chest-Supported T-Bar Row w/ Band</t>
  </si>
  <si>
    <t>Chin Curl + Negative Hold</t>
  </si>
  <si>
    <t>Chin-Ups</t>
  </si>
  <si>
    <t>Clean And Press</t>
  </si>
  <si>
    <t>Cliffhanger Walkouts</t>
  </si>
  <si>
    <t>No</t>
  </si>
  <si>
    <t>Close-Grip Bench Press</t>
  </si>
  <si>
    <t>Close-Grip Dumbbell Bench</t>
  </si>
  <si>
    <t>Close-Grip Push-Ups</t>
  </si>
  <si>
    <t>Close-Grip Smith Machine Press</t>
  </si>
  <si>
    <t>Concentration Curl</t>
  </si>
  <si>
    <t>Cossack Squat</t>
  </si>
  <si>
    <t>Cross-Body Hammer Curl</t>
  </si>
  <si>
    <t>Cross-Body Hammer Strength Press</t>
  </si>
  <si>
    <t>Crunch</t>
  </si>
  <si>
    <t>Crush Grip Dumbbell Press</t>
  </si>
  <si>
    <t>Cuban Press</t>
  </si>
  <si>
    <t>Curtsy Lunge</t>
  </si>
  <si>
    <t>DB 21s</t>
  </si>
  <si>
    <t>DB Shoulder Press</t>
  </si>
  <si>
    <t>DB Shovel Curls</t>
  </si>
  <si>
    <t>DB Triceps Extensions + Close Grip Bench</t>
  </si>
  <si>
    <t>Dead Bug</t>
  </si>
  <si>
    <t>Dead Hang</t>
  </si>
  <si>
    <t>Deadlift</t>
  </si>
  <si>
    <t>Decline Barbell Bench Press</t>
  </si>
  <si>
    <t>Decline Dumbbell Press</t>
  </si>
  <si>
    <t>Decline Sit-Up</t>
  </si>
  <si>
    <t>Decline Smith Machine Press</t>
  </si>
  <si>
    <t>Deficit Barbell Romanian Deadlift</t>
  </si>
  <si>
    <t>Deficit Dumbbell Reverse Lunge</t>
  </si>
  <si>
    <t>Deficit Sumo Stance Kettlebell Deadlift</t>
  </si>
  <si>
    <t>Diamond Push-Ups</t>
  </si>
  <si>
    <t>Divebomber Pushups</t>
  </si>
  <si>
    <t>Dragon Flag</t>
  </si>
  <si>
    <t>Dumbbell Bench Press</t>
  </si>
  <si>
    <t>Dumbbell Bent-Over Lateral Raise</t>
  </si>
  <si>
    <t>Dumbbell Curl</t>
  </si>
  <si>
    <t>Dumbbell Floor Flyes</t>
  </si>
  <si>
    <t>Dumbbell Floor Press</t>
  </si>
  <si>
    <t>Dumbbell Fly</t>
  </si>
  <si>
    <t>Dumbbell Front Raise</t>
  </si>
  <si>
    <t>Dumbbell Glute Bridge</t>
  </si>
  <si>
    <t>Dumbbell Hammer Curl</t>
  </si>
  <si>
    <t>Dumbbell Isolateral Skull Crusher</t>
  </si>
  <si>
    <t>Dumbbell Kickbacks</t>
  </si>
  <si>
    <t>Dumbbell Lateral Raise</t>
  </si>
  <si>
    <t>Dumbbell One-Arm Row</t>
  </si>
  <si>
    <t>Dumbbell Preacher Curl</t>
  </si>
  <si>
    <t>Dumbbell Pronated Curl</t>
  </si>
  <si>
    <t>Dumbbell Rear Delt Fly</t>
  </si>
  <si>
    <t>Dumbbell Romanian Deadlift</t>
  </si>
  <si>
    <t>Dumbbell Shoulder Press</t>
  </si>
  <si>
    <t>Dumbbell Shrug</t>
  </si>
  <si>
    <t>Dumbbell Step-Ups</t>
  </si>
  <si>
    <t>Dumbbell Sumo Squat</t>
  </si>
  <si>
    <t>Dumbbell Supinated Curl</t>
  </si>
  <si>
    <t>Dumbbell Tricep Extensions</t>
  </si>
  <si>
    <t>Dumbbell Upright Row</t>
  </si>
  <si>
    <t>Dumbbell Walking Lunge</t>
  </si>
  <si>
    <t>Dumbbell Wall Curl</t>
  </si>
  <si>
    <t>Dumbbell Wrist Curl</t>
  </si>
  <si>
    <t>Egyptian Lateral Raise</t>
  </si>
  <si>
    <t>Elliptical</t>
  </si>
  <si>
    <t>EZ Bar Curl</t>
  </si>
  <si>
    <t>EZ Bar Drag Curl</t>
  </si>
  <si>
    <t>EZ Bar Skull Crushers</t>
  </si>
  <si>
    <t>EZ Bar Upright Row</t>
  </si>
  <si>
    <t>EZ-Bar Cable Curl</t>
  </si>
  <si>
    <t>EZ-Bar Preacher Curl</t>
  </si>
  <si>
    <t>Face Pulls</t>
  </si>
  <si>
    <t>Farmer's Carry</t>
  </si>
  <si>
    <t>Flutter Kicks</t>
  </si>
  <si>
    <t>French Press</t>
  </si>
  <si>
    <t>Frog Pumps</t>
  </si>
  <si>
    <t>Front Squat</t>
  </si>
  <si>
    <t>Glute Bridge</t>
  </si>
  <si>
    <t>Glute Ham Raise</t>
  </si>
  <si>
    <t>Glute Kickback Machine</t>
  </si>
  <si>
    <t>Glute/Hamstring Focused Back Extension</t>
  </si>
  <si>
    <t>Goblet Squat</t>
  </si>
  <si>
    <t>Good Morning</t>
  </si>
  <si>
    <t>Hack Squat</t>
  </si>
  <si>
    <t>Hang Clean</t>
  </si>
  <si>
    <t>Hang Snatch</t>
  </si>
  <si>
    <t>Hanging Corkscrews</t>
  </si>
  <si>
    <t>Hanging Knee Raise</t>
  </si>
  <si>
    <t>Hanging Leg Raise</t>
  </si>
  <si>
    <t>High Cable Curl</t>
  </si>
  <si>
    <t>High Knees</t>
  </si>
  <si>
    <t>Hip Thrust Machine</t>
  </si>
  <si>
    <t>Hollow Body Hold</t>
  </si>
  <si>
    <t>Incline Barbell Bench</t>
  </si>
  <si>
    <t>Incline Dumbbell Curl</t>
  </si>
  <si>
    <t>Incline Dumbbell Fly</t>
  </si>
  <si>
    <t>Incline Dumbbell Press</t>
  </si>
  <si>
    <t>Incline Dumbbell Row</t>
  </si>
  <si>
    <t>Inverted Chin Curls</t>
  </si>
  <si>
    <t>Inverted Rows</t>
  </si>
  <si>
    <t>Jack Pushups</t>
  </si>
  <si>
    <t>JM Press</t>
  </si>
  <si>
    <t>Jump Rope</t>
  </si>
  <si>
    <t>Jump Squats</t>
  </si>
  <si>
    <t>Kettlebell Clean</t>
  </si>
  <si>
    <t>Kettlebell Single Leg Deadlift</t>
  </si>
  <si>
    <t>Kettlebell Snatch</t>
  </si>
  <si>
    <t>Kettlebell Swing</t>
  </si>
  <si>
    <t>Knee Up Chinups</t>
  </si>
  <si>
    <t>Kneeling Single Arm Cable Flye</t>
  </si>
  <si>
    <t>Kneeling Straight-Arm Cable Pull-Over</t>
  </si>
  <si>
    <t>L-Sit</t>
  </si>
  <si>
    <t>Landmine Press</t>
  </si>
  <si>
    <t>Landmine Row</t>
  </si>
  <si>
    <t>Lateral Band Walk</t>
  </si>
  <si>
    <t>Lateral Lunge</t>
  </si>
  <si>
    <t>Leg Curl</t>
  </si>
  <si>
    <t>Leg Extension</t>
  </si>
  <si>
    <t>Leg Press</t>
  </si>
  <si>
    <t>Leg Press Calf Raise</t>
  </si>
  <si>
    <t>Calves</t>
  </si>
  <si>
    <t>Low-To-High Reverse Flye</t>
  </si>
  <si>
    <t>Lying Cable Rear Delt Fly</t>
  </si>
  <si>
    <t>Lying Leg Raise</t>
  </si>
  <si>
    <t>Lying Triceps Extension</t>
  </si>
  <si>
    <t>Machine Bench Press</t>
  </si>
  <si>
    <t>Machine Chest Fly</t>
  </si>
  <si>
    <t>Machine Curls</t>
  </si>
  <si>
    <t>Machine High Row</t>
  </si>
  <si>
    <t>Machine Incline Press</t>
  </si>
  <si>
    <t>Machine Lateral Raise</t>
  </si>
  <si>
    <t>Machine Row</t>
  </si>
  <si>
    <t>Machine Shoulder Press</t>
  </si>
  <si>
    <t>Machine Tricep Extension</t>
  </si>
  <si>
    <t>Meadows Row</t>
  </si>
  <si>
    <t>Military Press / Push Press Complex</t>
  </si>
  <si>
    <t>Mountain Climbers</t>
  </si>
  <si>
    <t>Neutral-Grip Pulldown</t>
  </si>
  <si>
    <t>Nordic Hamstring Curl</t>
  </si>
  <si>
    <t>Over Unders</t>
  </si>
  <si>
    <t>Overhead Cable Triceps Extension</t>
  </si>
  <si>
    <t>Overhead Dumbbell Extension</t>
  </si>
  <si>
    <t>Overhead Squat</t>
  </si>
  <si>
    <t>Pallof Press</t>
  </si>
  <si>
    <t>Pec Deck</t>
  </si>
  <si>
    <t>Pendlay Row</t>
  </si>
  <si>
    <t>Pendulum Squat</t>
  </si>
  <si>
    <t>Pistol Squat</t>
  </si>
  <si>
    <t>Plank</t>
  </si>
  <si>
    <t>Power Clean</t>
  </si>
  <si>
    <t>Power Snatch</t>
  </si>
  <si>
    <t>Preacher Curl Machine</t>
  </si>
  <si>
    <t>Prone Glute Leg Raise</t>
  </si>
  <si>
    <t>Prone Hamstring Curl Single Leg</t>
  </si>
  <si>
    <t>Pull-Up</t>
  </si>
  <si>
    <t>Push Press</t>
  </si>
  <si>
    <t>Pushups</t>
  </si>
  <si>
    <t>Reverse Grip EZ Bar Curl</t>
  </si>
  <si>
    <t>Reverse Hyperextension</t>
  </si>
  <si>
    <t>Reverse Lunges</t>
  </si>
  <si>
    <t>Reverse Pec Deck</t>
  </si>
  <si>
    <t>Reverse-Grip Barbell Curl</t>
  </si>
  <si>
    <t>Reverse-Grip Pulldown</t>
  </si>
  <si>
    <t>Reverse-Grip Tricep Pushdown</t>
  </si>
  <si>
    <t>Rope Cable Curl</t>
  </si>
  <si>
    <t>Rope Straight-Arm Pulldown</t>
  </si>
  <si>
    <t>Rope Triceps Pressdown</t>
  </si>
  <si>
    <t>Rope Upright Row</t>
  </si>
  <si>
    <t>Round-Back Dumbbell 45° Hyperextension</t>
  </si>
  <si>
    <t>Rowing Machine</t>
  </si>
  <si>
    <t>Run The Rack DB Curls</t>
  </si>
  <si>
    <t>Russian Twist</t>
  </si>
  <si>
    <t>Seal Row</t>
  </si>
  <si>
    <t>Seated Abduction Machine</t>
  </si>
  <si>
    <t>Seated Adduction Machine</t>
  </si>
  <si>
    <t>Seated Barbell Curl</t>
  </si>
  <si>
    <t>Seated Cable Row</t>
  </si>
  <si>
    <t>Seated Calf Raise</t>
  </si>
  <si>
    <t>Seated Hip Flexor Raises</t>
  </si>
  <si>
    <t>Seated Leg Curl</t>
  </si>
  <si>
    <t>Seated Leg Press Machine</t>
  </si>
  <si>
    <t>Shuffle Pushups + Pick Up</t>
  </si>
  <si>
    <t>Side Plank</t>
  </si>
  <si>
    <t>Single Arm Dumbbell Lateral Raise</t>
  </si>
  <si>
    <t>Single Leg Calf Raise</t>
  </si>
  <si>
    <t>Single Leg GHD Raise</t>
  </si>
  <si>
    <t>Single Leg Leg Press</t>
  </si>
  <si>
    <t>Single Leg Seated Leg Press Machine</t>
  </si>
  <si>
    <t>Single-Arm Cable Curl</t>
  </si>
  <si>
    <t>Single-Arm Pulldown</t>
  </si>
  <si>
    <t>Single-Arm Seated Cable Row</t>
  </si>
  <si>
    <t>Single-Leg Hip Thrust</t>
  </si>
  <si>
    <t>Single-Leg Leg Extension</t>
  </si>
  <si>
    <t>Single-Leg RDL</t>
  </si>
  <si>
    <t>Sissy Squat</t>
  </si>
  <si>
    <t>Ski Erg</t>
  </si>
  <si>
    <t>Skiers</t>
  </si>
  <si>
    <t>Sled Drag</t>
  </si>
  <si>
    <t>Sled Push</t>
  </si>
  <si>
    <t>Slow Eccentric Dip</t>
  </si>
  <si>
    <t>Smith Machine Behind-The-Back Shrug</t>
  </si>
  <si>
    <t>Smith Machine Bench Press</t>
  </si>
  <si>
    <t>Smith Machine Calf Raise</t>
  </si>
  <si>
    <t>Smith Machine Hip Thrust</t>
  </si>
  <si>
    <t>Smith Machine Incline Press</t>
  </si>
  <si>
    <t>Smith Machine One-Arm Upright Row</t>
  </si>
  <si>
    <t>Smith Machine Reverse Lunge</t>
  </si>
  <si>
    <t>Smith Machine Squat</t>
  </si>
  <si>
    <t>Snatch Grip Barbell Shrug</t>
  </si>
  <si>
    <t>Snatch-Grip Deadlift</t>
  </si>
  <si>
    <t>Spider Curl</t>
  </si>
  <si>
    <t>Spiderman Pullups</t>
  </si>
  <si>
    <t>Spiderman Pushups</t>
  </si>
  <si>
    <t>Sprints</t>
  </si>
  <si>
    <t>Stair Climber</t>
  </si>
  <si>
    <t>Standing Cable Kickbacks</t>
  </si>
  <si>
    <t>Standing Calf Raise</t>
  </si>
  <si>
    <t>Standing Calf Raise Machine</t>
  </si>
  <si>
    <t>Standing Oblique Cable Crunch</t>
  </si>
  <si>
    <t>Stationary Bike</t>
  </si>
  <si>
    <t>Stiff Leg Deadlift</t>
  </si>
  <si>
    <t>Suitcase Carry</t>
  </si>
  <si>
    <t>Supinated Weighted Pull-Ups</t>
  </si>
  <si>
    <t>Swiss Ball Single-Leg Leg Curl</t>
  </si>
  <si>
    <t>T-Bar Row</t>
  </si>
  <si>
    <t>Tate Press</t>
  </si>
  <si>
    <t>Thruster</t>
  </si>
  <si>
    <t>Tibialis Raise</t>
  </si>
  <si>
    <t>Toes-to-Bar</t>
  </si>
  <si>
    <t>Trap Bar Shrugs</t>
  </si>
  <si>
    <t>Treadmill</t>
  </si>
  <si>
    <t>Triceps V-Bar Pressdown</t>
  </si>
  <si>
    <t>Turkish Get-Up</t>
  </si>
  <si>
    <t>Twisting Pistons</t>
  </si>
  <si>
    <t>Upright Dips</t>
  </si>
  <si>
    <t>V-Bar Pull Downs</t>
  </si>
  <si>
    <t>V-Ups</t>
  </si>
  <si>
    <t>Walking Lunge</t>
  </si>
  <si>
    <t>Walking Renegade Rows</t>
  </si>
  <si>
    <t>Wall Balls</t>
  </si>
  <si>
    <t>Wide-Grip Cable Pulldowns</t>
  </si>
  <si>
    <t>Z Press</t>
  </si>
  <si>
    <t>Zercher Squat</t>
  </si>
  <si>
    <t>Zottman Curl</t>
  </si>
  <si>
    <t>Workout names</t>
  </si>
  <si>
    <t>Set types</t>
  </si>
  <si>
    <t>Set type keys</t>
  </si>
  <si>
    <t>Muscle groups</t>
  </si>
  <si>
    <t>Superset groups</t>
  </si>
  <si>
    <t>Creating</t>
  </si>
  <si>
    <t>Program types</t>
  </si>
  <si>
    <t>Program type keys</t>
  </si>
  <si>
    <t>Template version</t>
  </si>
  <si>
    <t>REST</t>
  </si>
  <si>
    <t>Regular</t>
  </si>
  <si>
    <t>straight</t>
  </si>
  <si>
    <t>A</t>
  </si>
  <si>
    <t>Single Workout</t>
  </si>
  <si>
    <t>Hypertrophy</t>
  </si>
  <si>
    <t>hypertrophy</t>
  </si>
  <si>
    <t>RepLab Workout Template v1</t>
  </si>
  <si>
    <t>Warm Up</t>
  </si>
  <si>
    <t>warm_up</t>
  </si>
  <si>
    <t>B</t>
  </si>
  <si>
    <t>Program</t>
  </si>
  <si>
    <t>Strength</t>
  </si>
  <si>
    <t>strength</t>
  </si>
  <si>
    <t>Touch Up</t>
  </si>
  <si>
    <t>touch_up</t>
  </si>
  <si>
    <t>C</t>
  </si>
  <si>
    <t>Hybrid</t>
  </si>
  <si>
    <t>hybrid</t>
  </si>
  <si>
    <t>Drop Set</t>
  </si>
  <si>
    <t>drop</t>
  </si>
  <si>
    <t>D</t>
  </si>
  <si>
    <t>conditioning</t>
  </si>
  <si>
    <t>Rest Pause</t>
  </si>
  <si>
    <t>rest_pause</t>
  </si>
  <si>
    <t>E</t>
  </si>
  <si>
    <t>Shred</t>
  </si>
  <si>
    <t>strength_conditioning</t>
  </si>
  <si>
    <t>Super Set</t>
  </si>
  <si>
    <t>superset</t>
  </si>
  <si>
    <t>F</t>
  </si>
  <si>
    <t>Hypertrophy &amp; Strength</t>
  </si>
  <si>
    <t>hypertrophy_strength</t>
  </si>
  <si>
    <t>Alternating Set</t>
  </si>
  <si>
    <t>alternating</t>
  </si>
  <si>
    <t>G</t>
  </si>
  <si>
    <t>Glute-Focused</t>
  </si>
  <si>
    <t>glute_focused</t>
  </si>
  <si>
    <t>Pre-Exhaust</t>
  </si>
  <si>
    <t>pre_exhaust</t>
  </si>
  <si>
    <t>H</t>
  </si>
  <si>
    <t>Other</t>
  </si>
  <si>
    <t>other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</si>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</sst>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Week &quot;0"/>
  </numFmts>
  <fonts count="10" x14ac:knownFonts="1">
    <font>
      <color theme="1"/>
      <family val="2"/>
      <scheme val="minor"/>
      <sz val="11"/>
      <name val="Calibri"/>
    </font>
    <font>
      <b/>
      <color rgb="FFE10600"/>
      <sz val="20"/>
      <name val="Arial"/>
    </font>
    <font>
      <i/>
      <color rgb="FF6B6B6B"/>
      <sz val="10"/>
      <name val="Arial"/>
    </font>
    <font>
      <b/>
      <color rgb="FF6B6B6B"/>
      <sz val="10"/>
      <name val="Arial"/>
    </font>
    <font>
      <b/>
      <color rgb="FF111111"/>
      <sz val="10"/>
      <name val="Arial"/>
    </font>
    <font>
      <color rgb="FF111111"/>
      <sz val="10"/>
      <name val="Arial"/>
    </font>
    <font>
      <color rgb="FF6B6B6B"/>
      <sz val="10"/>
      <name val="Arial"/>
    </font>
    <font>
      <b/>
      <color rgb="FFFFFFFF"/>
      <sz val="10"/>
      <name val="Arial"/>
    </font>
    <font>
      <b/>
      <color rgb="FF111111"/>
      <sz val="12"/>
      <name val="Arial"/>
    </font>
    <font>
      <b/>
      <color rgb="FF111111"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DE7"/>
      </patternFill>
    </fill>
    <fill>
      <patternFill patternType="solid">
        <fgColor rgb="FF2B2B2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2" fillId="0" borderId="0" xfId="0" applyFont="1" applyAlignment="1">
      <alignment wrapText="1"/>
    </xf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100">
    <dxf>
      <font>
        <b/>
        <color rgb="FF9B0000"/>
      </font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color rgb="FF9B0000"/>
      </font>
      <fill>
        <patternFill patternType="solid">
          <fgColor rgb="FFFFC9C9"/>
        </patternFill>
      </fill>
    </dxf>
    <dxf>
      <font>
        <color rgb="FF6B6B6B"/>
      </font>
      <fill>
        <patternFill patternType="solid">
          <fgColor rgb="FFF2F2F2"/>
        </patternFill>
      </fill>
    </dxf>
    <dxf>
      <font>
        <b/>
        <color rgb="FF9B0000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b/>
      </font>
      <fill>
        <patternFill patternType="solid">
          <fgColor rgb="FFE6E6E6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  <dxf>
      <font>
        <b/>
        <color rgb="FF0B6B12"/>
      </font>
      <fill>
        <patternFill patternType="solid">
          <fgColor rgb="FFC8F7C5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b/>
        <color rgb="FF8A5A00"/>
      </font>
      <fill>
        <patternFill patternType="solid">
          <fgColor rgb="FFFFE8B0"/>
        </patternFill>
      </fill>
    </dxf>
    <dxf>
      <font>
        <color rgb="FFAAAAAA"/>
      </font>
      <fill>
        <patternFill patternType="solid">
          <fgColor rgb="FFF2F2F2"/>
        </patternFill>
      </fill>
    </dxf>
    <dxf>
      <font>
        <color rgb="FF1E4E8C"/>
      </font>
      <fill>
        <patternFill patternType="solid">
          <fgColor rgb="FFDDEBFF"/>
        </patternFill>
      </fill>
    </dxf>
    <dxf>
      <font>
        <b/>
        <color rgb="FF9B0000"/>
      </font>
      <fill>
        <patternFill patternType="solid">
          <fgColor rgb="FFFFC9C9"/>
        </patternFill>
      </fill>
    </dxf>
    <dxf>
      <font>
        <color rgb="FF0B6B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10600"/>
  </sheetPr>
  <dimension ref="A1:D4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8" customWidth="1"/>
    <col min="3" max="3" width="34" customWidth="1"/>
    <col min="4" max="4" width="46" customWidth="1"/>
    <col min="5" max="5" width="3" customWidth="1"/>
  </cols>
  <sheetData>
    <row r="1" ht="34" customHeight="1" spans="2:4" x14ac:dyDescent="0.25">
      <c r="B1" s="1" t="s">
        <v>0</v>
      </c>
      <c r="C1" s="1"/>
      <c r="D1" s="1"/>
    </row>
    <row r="2" spans="2:4" x14ac:dyDescent="0.25">
      <c r="B2" s="2" t="s">
        <v>1</v>
      </c>
      <c r="C2" s="2"/>
      <c r="D2" s="2"/>
    </row>
    <row r="3" spans="2:2" x14ac:dyDescent="0.25">
      <c r="B3" s="3" t="s">
        <v>2</v>
      </c>
    </row>
    <row r="4" ht="22" customHeight="1" spans="2:4" x14ac:dyDescent="0.25">
      <c r="B4" s="4" t="s">
        <v>3</v>
      </c>
      <c r="C4" s="5"/>
      <c r="D4" s="6">
        <f>IF(C4="","⚠ Choose Single Workout or Program","✓")</f>
      </c>
    </row>
    <row r="5" ht="22" customHeight="1" spans="2:4" x14ac:dyDescent="0.25">
      <c r="B5" s="4" t="s">
        <v>4</v>
      </c>
      <c r="C5" s="5"/>
      <c r="D5" s="6">
        <f>IF($C$4&lt;&gt;"Program","Not needed for a single workout",IF(C5="","⚠ Required","✓"))</f>
      </c>
    </row>
    <row r="6" ht="22" customHeight="1" spans="2:4" x14ac:dyDescent="0.25">
      <c r="B6" s="4" t="s">
        <v>5</v>
      </c>
      <c r="C6" s="5"/>
      <c r="D6" s="6">
        <f>IF($C$4&lt;&gt;"Program","Not needed for a single workout","Optional — shown to clients")</f>
      </c>
    </row>
    <row r="7" ht="22" customHeight="1" spans="2:4" x14ac:dyDescent="0.25">
      <c r="B7" s="4" t="s">
        <v>6</v>
      </c>
      <c r="C7" s="5"/>
      <c r="D7" s="6">
        <f>IF($C$4&lt;&gt;"Program","Not needed for a single workout",IF(C7="","⚠ Required","✓"))</f>
      </c>
    </row>
    <row r="8" ht="22" customHeight="1" spans="2:4" x14ac:dyDescent="0.25">
      <c r="B8" s="4" t="s">
        <v>7</v>
      </c>
      <c r="C8" s="5"/>
      <c r="D8" s="6">
        <f>IF($C$4&lt;&gt;"Program","Not needed for a single workout",IF(C8="","⚠ Required","✓ Fill weeks 1–"&amp;C8&amp;" on the Schedule sheet"))</f>
      </c>
    </row>
    <row r="9" ht="22" customHeight="1" spans="2:4" x14ac:dyDescent="0.25">
      <c r="B9" s="4" t="s">
        <v>8</v>
      </c>
      <c r="C9" s="5"/>
      <c r="D9" s="6">
        <f>IF($C$4&lt;&gt;"Program","Single workout: fill out the Workout 1 sheet",IF(C9="","⚠ Required","✓ Fill out Workout 1–"&amp;C9))</f>
      </c>
    </row>
    <row r="10" ht="22" customHeight="1" spans="2:4" x14ac:dyDescent="0.25">
      <c r="B10" s="4" t="s">
        <v>9</v>
      </c>
      <c r="C10" s="5"/>
      <c r="D10" s="6">
        <f>"Your name or business — optional"</f>
      </c>
    </row>
    <row r="11" spans="2:2" x14ac:dyDescent="0.25">
      <c r="B11" s="3" t="s">
        <v>10</v>
      </c>
    </row>
    <row r="12" ht="32" customHeight="1" spans="1:4" x14ac:dyDescent="0.25">
      <c r="B12" s="7" t="s">
        <v>11</v>
      </c>
      <c r="C12" s="7" t="s">
        <v>12</v>
      </c>
      <c r="D12" s="7" t="s">
        <v>13</v>
      </c>
    </row>
    <row r="13" spans="2:4" x14ac:dyDescent="0.25">
      <c r="B13" s="8" t="s">
        <v>14</v>
      </c>
      <c r="C13" s="9">
        <f>IF('Workout 1'!$O$1="FILL","FILL OUT",IF('Workout 1'!$O$1="SKIP","NOT NEEDED","Answer question 1"))</f>
      </c>
      <c r="D13" s="8">
        <f>IF('Workout 1'!$O$2=0,"",'Workout 1'!$O$2&amp;" — look for ⚠ in the Check column")</f>
      </c>
    </row>
    <row r="14" spans="2:4" x14ac:dyDescent="0.25">
      <c r="B14" s="8" t="s">
        <v>15</v>
      </c>
      <c r="C14" s="9">
        <f>IF('Workout 2'!$O$1="FILL","FILL OUT",IF('Workout 2'!$O$1="SKIP","NOT NEEDED","Answer question 1"))</f>
      </c>
      <c r="D14" s="8">
        <f>IF('Workout 2'!$O$2=0,"",'Workout 2'!$O$2&amp;" — look for ⚠ in the Check column")</f>
      </c>
    </row>
    <row r="15" spans="2:4" x14ac:dyDescent="0.25">
      <c r="B15" s="8" t="s">
        <v>16</v>
      </c>
      <c r="C15" s="9">
        <f>IF('Workout 3'!$O$1="FILL","FILL OUT",IF('Workout 3'!$O$1="SKIP","NOT NEEDED","Answer question 1"))</f>
      </c>
      <c r="D15" s="8">
        <f>IF('Workout 3'!$O$2=0,"",'Workout 3'!$O$2&amp;" — look for ⚠ in the Check column")</f>
      </c>
    </row>
    <row r="16" spans="2:4" x14ac:dyDescent="0.25">
      <c r="B16" s="8" t="s">
        <v>17</v>
      </c>
      <c r="C16" s="9">
        <f>IF('Workout 4'!$O$1="FILL","FILL OUT",IF('Workout 4'!$O$1="SKIP","NOT NEEDED","Answer question 1"))</f>
      </c>
      <c r="D16" s="8">
        <f>IF('Workout 4'!$O$2=0,"",'Workout 4'!$O$2&amp;" — look for ⚠ in the Check column")</f>
      </c>
    </row>
    <row r="17" spans="2:4" x14ac:dyDescent="0.25">
      <c r="B17" s="8" t="s">
        <v>18</v>
      </c>
      <c r="C17" s="9">
        <f>IF('Workout 5'!$O$1="FILL","FILL OUT",IF('Workout 5'!$O$1="SKIP","NOT NEEDED","Answer question 1"))</f>
      </c>
      <c r="D17" s="8">
        <f>IF('Workout 5'!$O$2=0,"",'Workout 5'!$O$2&amp;" — look for ⚠ in the Check column")</f>
      </c>
    </row>
    <row r="18" spans="2:4" x14ac:dyDescent="0.25">
      <c r="B18" s="8" t="s">
        <v>19</v>
      </c>
      <c r="C18" s="9">
        <f>IF('Workout 6'!$O$1="FILL","FILL OUT",IF('Workout 6'!$O$1="SKIP","NOT NEEDED","Answer question 1"))</f>
      </c>
      <c r="D18" s="8">
        <f>IF('Workout 6'!$O$2=0,"",'Workout 6'!$O$2&amp;" — look for ⚠ in the Check column")</f>
      </c>
    </row>
    <row r="19" spans="2:4" x14ac:dyDescent="0.25">
      <c r="B19" s="8" t="s">
        <v>20</v>
      </c>
      <c r="C19" s="9">
        <f>IF('Workout 7'!$O$1="FILL","FILL OUT",IF('Workout 7'!$O$1="SKIP","NOT NEEDED","Answer question 1"))</f>
      </c>
      <c r="D19" s="8">
        <f>IF('Workout 7'!$O$2=0,"",'Workout 7'!$O$2&amp;" — look for ⚠ in the Check column")</f>
      </c>
    </row>
    <row r="20" spans="2:4" x14ac:dyDescent="0.25">
      <c r="B20" s="8" t="s">
        <v>21</v>
      </c>
      <c r="C20" s="9">
        <f>IF('Workout 8'!$O$1="FILL","FILL OUT",IF('Workout 8'!$O$1="SKIP","NOT NEEDED","Answer question 1"))</f>
      </c>
      <c r="D20" s="8">
        <f>IF('Workout 8'!$O$2=0,"",'Workout 8'!$O$2&amp;" — look for ⚠ in the Check column")</f>
      </c>
    </row>
    <row r="21" spans="2:4" x14ac:dyDescent="0.25">
      <c r="B21" s="8" t="s">
        <v>22</v>
      </c>
      <c r="C21" s="9">
        <f>IF('Workout 9'!$O$1="FILL","FILL OUT",IF('Workout 9'!$O$1="SKIP","NOT NEEDED","Answer question 1"))</f>
      </c>
      <c r="D21" s="8">
        <f>IF('Workout 9'!$O$2=0,"",'Workout 9'!$O$2&amp;" — look for ⚠ in the Check column")</f>
      </c>
    </row>
    <row r="22" spans="2:4" x14ac:dyDescent="0.25">
      <c r="B22" s="8" t="s">
        <v>23</v>
      </c>
      <c r="C22" s="9">
        <f>IF('Workout 10'!$O$1="FILL","FILL OUT",IF('Workout 10'!$O$1="SKIP","NOT NEEDED","Answer question 1"))</f>
      </c>
      <c r="D22" s="8">
        <f>IF('Workout 10'!$O$2=0,"",'Workout 10'!$O$2&amp;" — look for ⚠ in the Check column")</f>
      </c>
    </row>
    <row r="23" spans="2:4" x14ac:dyDescent="0.25">
      <c r="B23" s="8" t="s">
        <v>24</v>
      </c>
      <c r="C23" s="9">
        <f>IF('Workout 11'!$O$1="FILL","FILL OUT",IF('Workout 11'!$O$1="SKIP","NOT NEEDED","Answer question 1"))</f>
      </c>
      <c r="D23" s="8">
        <f>IF('Workout 11'!$O$2=0,"",'Workout 11'!$O$2&amp;" — look for ⚠ in the Check column")</f>
      </c>
    </row>
    <row r="24" spans="2:4" x14ac:dyDescent="0.25">
      <c r="B24" s="8" t="s">
        <v>25</v>
      </c>
      <c r="C24" s="9">
        <f>IF('Workout 12'!$O$1="FILL","FILL OUT",IF('Workout 12'!$O$1="SKIP","NOT NEEDED","Answer question 1"))</f>
      </c>
      <c r="D24" s="8">
        <f>IF('Workout 12'!$O$2=0,"",'Workout 12'!$O$2&amp;" — look for ⚠ in the Check column")</f>
      </c>
    </row>
    <row r="25" spans="2:4" x14ac:dyDescent="0.25">
      <c r="B25" s="8" t="s">
        <v>26</v>
      </c>
      <c r="C25" s="9">
        <f>IF('Schedule'!$O$1="FILL","FILL OUT",IF('Schedule'!$O$1="SKIP","NOT NEEDED","Answer question 1"))</f>
      </c>
      <c r="D25" s="8">
        <f>IF(Schedule!$O$2=0,"",Schedule!$O$2&amp;" — look for ⚠ in the Check column")</f>
      </c>
    </row>
    <row r="26" spans="2:4" x14ac:dyDescent="0.25">
      <c r="B26" s="8" t="s">
        <v>27</v>
      </c>
      <c r="C26" s="9" t="s">
        <v>28</v>
      </c>
      <c r="D26" s="8" t="s">
        <v>29</v>
      </c>
    </row>
    <row r="28" ht="26" customHeight="1" spans="2:4" x14ac:dyDescent="0.25">
      <c r="B28" s="10" t="s">
        <v>30</v>
      </c>
      <c r="C28" s="11">
        <f>IF($C$4="","Answer question 1 first",IF(('Workout 1'!$O$2+'Workout 2'!$O$2+'Workout 3'!$O$2+'Workout 4'!$O$2+'Workout 5'!$O$2+'Workout 6'!$O$2+'Workout 7'!$O$2+'Workout 8'!$O$2+'Workout 9'!$O$2+'Workout 10'!$O$2+'Workout 11'!$O$2+'Workout 12'!$O$2+Schedule!$O$2+COUNTIF($D$4:$D$10,"⚠*"))=0,"✓ Ready to upload","⚠ "&amp;('Workout 1'!$O$2+'Workout 2'!$O$2+'Workout 3'!$O$2+'Workout 4'!$O$2+'Workout 5'!$O$2+'Workout 6'!$O$2+'Workout 7'!$O$2+'Workout 8'!$O$2+'Workout 9'!$O$2+'Workout 10'!$O$2+'Workout 11'!$O$2+'Workout 12'!$O$2+Schedule!$O$2+COUNTIF($D$4:$D$10,"⚠*"))&amp;" problem(s) to fix — see the list above"))</f>
      </c>
      <c r="D28" s="11"/>
    </row>
    <row r="30" ht="18" customHeight="1" spans="2:4" x14ac:dyDescent="0.25">
      <c r="B30" s="12" t="s">
        <v>31</v>
      </c>
      <c r="C30" s="12"/>
      <c r="D30" s="12"/>
    </row>
    <row r="31" ht="30" customHeight="1" spans="2:4" x14ac:dyDescent="0.25">
      <c r="B31" s="13" t="s">
        <v>32</v>
      </c>
      <c r="C31" s="13"/>
      <c r="D31" s="13"/>
    </row>
    <row r="32" ht="30" customHeight="1" spans="2:4" x14ac:dyDescent="0.25">
      <c r="B32" s="13" t="s">
        <v>33</v>
      </c>
      <c r="C32" s="13"/>
      <c r="D32" s="13"/>
    </row>
    <row r="33" ht="30" customHeight="1" spans="2:4" x14ac:dyDescent="0.25">
      <c r="B33" s="13" t="s">
        <v>34</v>
      </c>
      <c r="C33" s="13"/>
      <c r="D33" s="13"/>
    </row>
    <row r="34" ht="30" customHeight="1" spans="2:4" x14ac:dyDescent="0.25">
      <c r="B34" s="13" t="s">
        <v>35</v>
      </c>
      <c r="C34" s="13"/>
      <c r="D34" s="13"/>
    </row>
    <row r="35" ht="30" customHeight="1" spans="2:4" x14ac:dyDescent="0.25">
      <c r="B35" s="13" t="s">
        <v>36</v>
      </c>
      <c r="C35" s="13"/>
      <c r="D35" s="13"/>
    </row>
    <row r="36" ht="30" customHeight="1" spans="2:4" x14ac:dyDescent="0.25">
      <c r="B36" s="13" t="s">
        <v>37</v>
      </c>
      <c r="C36" s="13"/>
      <c r="D36" s="13"/>
    </row>
    <row r="37" ht="30" customHeight="1" spans="2:4" x14ac:dyDescent="0.25">
      <c r="B37" s="13" t="s">
        <v>38</v>
      </c>
      <c r="C37" s="13"/>
      <c r="D37" s="13"/>
    </row>
    <row r="38" ht="30" customHeight="1" spans="2:4" x14ac:dyDescent="0.25">
      <c r="B38" s="13" t="s">
        <v>39</v>
      </c>
      <c r="C38" s="13"/>
      <c r="D38" s="13"/>
    </row>
    <row r="39" ht="30" customHeight="1" spans="2:4" x14ac:dyDescent="0.25">
      <c r="B39" s="13" t="s">
        <v>40</v>
      </c>
      <c r="C39" s="13"/>
      <c r="D39" s="13"/>
    </row>
    <row r="40" ht="30" customHeight="1" spans="2:4" x14ac:dyDescent="0.25">
      <c r="B40" s="13" t="s">
        <v>41</v>
      </c>
      <c r="C40" s="13"/>
      <c r="D40" s="13"/>
    </row>
  </sheetData>
  <mergeCells count="14">
    <mergeCell ref="B1:D1"/>
    <mergeCell ref="B2:D2"/>
    <mergeCell ref="C28:D28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</mergeCells>
  <conditionalFormatting sqref="D4:D10">
    <cfRule type="expression" dxfId="0" priority="1">
      <formula>LEFT(D4,1)="⚠"</formula>
    </cfRule>
    <cfRule type="expression" dxfId="1" priority="2">
      <formula>LEFT(D4,1)="✓"</formula>
    </cfRule>
  </conditionalFormatting>
  <conditionalFormatting sqref="B13:C26">
    <cfRule type="expression" dxfId="2" priority="1">
      <formula>$C13="FILL OUT"</formula>
    </cfRule>
    <cfRule type="expression" dxfId="3" priority="2">
      <formula>$C13="NOT NEEDED"</formula>
    </cfRule>
    <cfRule type="expression" dxfId="4" priority="3">
      <formula>$C13="REFERENCE"</formula>
    </cfRule>
  </conditionalFormatting>
  <conditionalFormatting sqref="D13:D26">
    <cfRule type="expression" dxfId="5" priority="1">
      <formula>D13&lt;&gt;""</formula>
    </cfRule>
  </conditionalFormatting>
  <conditionalFormatting sqref="C28:D28">
    <cfRule type="expression" dxfId="6" priority="1">
      <formula>LEFT($C$28,1)="✓"</formula>
    </cfRule>
    <cfRule type="expression" dxfId="7" priority="2">
      <formula>LEFT($C$28,1)="⚠"</formula>
    </cfRule>
    <cfRule type="expression" dxfId="8" priority="3">
      <formula>$C$4=""</formula>
    </cfRule>
  </conditionalFormatting>
  <dataValidations count="6">
    <dataValidation type="list" allowBlank="1" showInputMessage="1" prompt="Single Workout = one workout. Program = several workouts arranged over weeks." showErrorMessage="1" errorStyle="stop" errorTitle="Pick from the list" error="Choose one of the options in the dropdown." sqref="C4">
      <formula1>Lists!$F$2:$F$3</formula1>
    </dataValidation>
    <dataValidation type="textLength" operator="lessThanOrEqual" allowBlank="1" showErrorMessage="1" error="200 characters or fewer." sqref="C5">
      <formula1>200</formula1>
    </dataValidation>
    <dataValidation type="textLength" operator="lessThanOrEqual" allowBlank="1" showErrorMessage="1" error="5000 characters or fewer." sqref="C6">
      <formula1>5000</formula1>
    </dataValidation>
    <dataValidation type="list" allowBlank="1" showErrorMessage="1" errorStyle="stop" errorTitle="Pick from the list" error="Choose one of the options in the dropdown." sqref="C7">
      <formula1>Lists!$G$2:$G$9</formula1>
    </dataValidation>
    <dataValidation type="whole" allowBlank="1" showErrorMessage="1" error="Enter a whole number from 1 to 52." sqref="C8">
      <formula1>1</formula1>
      <formula2>52</formula2>
    </dataValidation>
    <dataValidation type="whole" allowBlank="1" showErrorMessage="1" error="Enter a whole number from 1 to 12." sqref="C9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1",IF($O$1="SKIP","⛔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Workout","FILL",IF(Start!$C$4="Program",IF(1&lt;=N(Start!$C$9),"FILL","SKIP"),""))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9" priority="1">
      <formula>$O$1="FILL"</formula>
    </cfRule>
    <cfRule type="expression" dxfId="10" priority="2">
      <formula>$O$1="SKIP"</formula>
    </cfRule>
    <cfRule type="expression" dxfId="11" priority="3">
      <formula>$O$1=""</formula>
    </cfRule>
  </conditionalFormatting>
  <conditionalFormatting sqref="A7:L56">
    <cfRule type="expression" dxfId="12" priority="1">
      <formula>$O$1="SKIP"</formula>
    </cfRule>
    <cfRule type="expression" dxfId="13" priority="2">
      <formula>$B7&lt;&gt;""</formula>
    </cfRule>
  </conditionalFormatting>
  <conditionalFormatting sqref="M3:M56">
    <cfRule type="expression" dxfId="14" priority="1">
      <formula>LEFT(M3,1)="⚠"</formula>
    </cfRule>
    <cfRule type="expression" dxfId="15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2",IF($O$1="SKIP","⛔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Workout","SKIP",IF(Start!$C$4="Program",IF(2&lt;=N(Start!$C$9),"FILL","SKIP"),""))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16" priority="1">
      <formula>$O$1="FILL"</formula>
    </cfRule>
    <cfRule type="expression" dxfId="17" priority="2">
      <formula>$O$1="SKIP"</formula>
    </cfRule>
    <cfRule type="expression" dxfId="18" priority="3">
      <formula>$O$1=""</formula>
    </cfRule>
  </conditionalFormatting>
  <conditionalFormatting sqref="A7:L56">
    <cfRule type="expression" dxfId="19" priority="1">
      <formula>$O$1="SKIP"</formula>
    </cfRule>
    <cfRule type="expression" dxfId="20" priority="2">
      <formula>$B7&lt;&gt;""</formula>
    </cfRule>
  </conditionalFormatting>
  <conditionalFormatting sqref="M3:M56">
    <cfRule type="expression" dxfId="21" priority="1">
      <formula>LEFT(M3,1)="⚠"</formula>
    </cfRule>
    <cfRule type="expression" dxfId="22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3",IF($O$1="SKIP","⛔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Workout","SKIP",IF(Start!$C$4="Program",IF(3&lt;=N(Start!$C$9),"FILL","SKIP"),""))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23" priority="1">
      <formula>$O$1="FILL"</formula>
    </cfRule>
    <cfRule type="expression" dxfId="24" priority="2">
      <formula>$O$1="SKIP"</formula>
    </cfRule>
    <cfRule type="expression" dxfId="25" priority="3">
      <formula>$O$1=""</formula>
    </cfRule>
  </conditionalFormatting>
  <conditionalFormatting sqref="A7:L56">
    <cfRule type="expression" dxfId="26" priority="1">
      <formula>$O$1="SKIP"</formula>
    </cfRule>
    <cfRule type="expression" dxfId="27" priority="2">
      <formula>$B7&lt;&gt;""</formula>
    </cfRule>
  </conditionalFormatting>
  <conditionalFormatting sqref="M3:M56">
    <cfRule type="expression" dxfId="28" priority="1">
      <formula>LEFT(M3,1)="⚠"</formula>
    </cfRule>
    <cfRule type="expression" dxfId="29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4",IF($O$1="SKIP","⛔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Workout","SKIP",IF(Start!$C$4="Program",IF(4&lt;=N(Start!$C$9),"FILL","SKIP"),""))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30" priority="1">
      <formula>$O$1="FILL"</formula>
    </cfRule>
    <cfRule type="expression" dxfId="31" priority="2">
      <formula>$O$1="SKIP"</formula>
    </cfRule>
    <cfRule type="expression" dxfId="32" priority="3">
      <formula>$O$1=""</formula>
    </cfRule>
  </conditionalFormatting>
  <conditionalFormatting sqref="A7:L56">
    <cfRule type="expression" dxfId="33" priority="1">
      <formula>$O$1="SKIP"</formula>
    </cfRule>
    <cfRule type="expression" dxfId="34" priority="2">
      <formula>$B7&lt;&gt;""</formula>
    </cfRule>
  </conditionalFormatting>
  <conditionalFormatting sqref="M3:M56">
    <cfRule type="expression" dxfId="35" priority="1">
      <formula>LEFT(M3,1)="⚠"</formula>
    </cfRule>
    <cfRule type="expression" dxfId="36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5",IF($O$1="SKIP","⛔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Workout","SKIP",IF(Start!$C$4="Program",IF(5&lt;=N(Start!$C$9),"FILL","SKIP"),""))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37" priority="1">
      <formula>$O$1="FILL"</formula>
    </cfRule>
    <cfRule type="expression" dxfId="38" priority="2">
      <formula>$O$1="SKIP"</formula>
    </cfRule>
    <cfRule type="expression" dxfId="39" priority="3">
      <formula>$O$1=""</formula>
    </cfRule>
  </conditionalFormatting>
  <conditionalFormatting sqref="A7:L56">
    <cfRule type="expression" dxfId="40" priority="1">
      <formula>$O$1="SKIP"</formula>
    </cfRule>
    <cfRule type="expression" dxfId="41" priority="2">
      <formula>$B7&lt;&gt;""</formula>
    </cfRule>
  </conditionalFormatting>
  <conditionalFormatting sqref="M3:M56">
    <cfRule type="expression" dxfId="42" priority="1">
      <formula>LEFT(M3,1)="⚠"</formula>
    </cfRule>
    <cfRule type="expression" dxfId="43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6",IF($O$1="SKIP","⛔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Workout","SKIP",IF(Start!$C$4="Program",IF(6&lt;=N(Start!$C$9),"FILL","SKIP"),""))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44" priority="1">
      <formula>$O$1="FILL"</formula>
    </cfRule>
    <cfRule type="expression" dxfId="45" priority="2">
      <formula>$O$1="SKIP"</formula>
    </cfRule>
    <cfRule type="expression" dxfId="46" priority="3">
      <formula>$O$1=""</formula>
    </cfRule>
  </conditionalFormatting>
  <conditionalFormatting sqref="A7:L56">
    <cfRule type="expression" dxfId="47" priority="1">
      <formula>$O$1="SKIP"</formula>
    </cfRule>
    <cfRule type="expression" dxfId="48" priority="2">
      <formula>$B7&lt;&gt;""</formula>
    </cfRule>
  </conditionalFormatting>
  <conditionalFormatting sqref="M3:M56">
    <cfRule type="expression" dxfId="49" priority="1">
      <formula>LEFT(M3,1)="⚠"</formula>
    </cfRule>
    <cfRule type="expression" dxfId="50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7",IF($O$1="SKIP","⛔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Workout","SKIP",IF(Start!$C$4="Program",IF(7&lt;=N(Start!$C$9),"FILL","SKIP"),""))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51" priority="1">
      <formula>$O$1="FILL"</formula>
    </cfRule>
    <cfRule type="expression" dxfId="52" priority="2">
      <formula>$O$1="SKIP"</formula>
    </cfRule>
    <cfRule type="expression" dxfId="53" priority="3">
      <formula>$O$1=""</formula>
    </cfRule>
  </conditionalFormatting>
  <conditionalFormatting sqref="A7:L56">
    <cfRule type="expression" dxfId="54" priority="1">
      <formula>$O$1="SKIP"</formula>
    </cfRule>
    <cfRule type="expression" dxfId="55" priority="2">
      <formula>$B7&lt;&gt;""</formula>
    </cfRule>
  </conditionalFormatting>
  <conditionalFormatting sqref="M3:M56">
    <cfRule type="expression" dxfId="56" priority="1">
      <formula>LEFT(M3,1)="⚠"</formula>
    </cfRule>
    <cfRule type="expression" dxfId="57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8",IF($O$1="SKIP","⛔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Workout","SKIP",IF(Start!$C$4="Program",IF(8&lt;=N(Start!$C$9),"FILL","SKIP"),""))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58" priority="1">
      <formula>$O$1="FILL"</formula>
    </cfRule>
    <cfRule type="expression" dxfId="59" priority="2">
      <formula>$O$1="SKIP"</formula>
    </cfRule>
    <cfRule type="expression" dxfId="60" priority="3">
      <formula>$O$1=""</formula>
    </cfRule>
  </conditionalFormatting>
  <conditionalFormatting sqref="A7:L56">
    <cfRule type="expression" dxfId="61" priority="1">
      <formula>$O$1="SKIP"</formula>
    </cfRule>
    <cfRule type="expression" dxfId="62" priority="2">
      <formula>$B7&lt;&gt;""</formula>
    </cfRule>
  </conditionalFormatting>
  <conditionalFormatting sqref="M3:M56">
    <cfRule type="expression" dxfId="63" priority="1">
      <formula>LEFT(M3,1)="⚠"</formula>
    </cfRule>
    <cfRule type="expression" dxfId="64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9",IF($O$1="SKIP","⛔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Workout","SKIP",IF(Start!$C$4="Program",IF(9&lt;=N(Start!$C$9),"FILL","SKIP"),""))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65" priority="1">
      <formula>$O$1="FILL"</formula>
    </cfRule>
    <cfRule type="expression" dxfId="66" priority="2">
      <formula>$O$1="SKIP"</formula>
    </cfRule>
    <cfRule type="expression" dxfId="67" priority="3">
      <formula>$O$1=""</formula>
    </cfRule>
  </conditionalFormatting>
  <conditionalFormatting sqref="A7:L56">
    <cfRule type="expression" dxfId="68" priority="1">
      <formula>$O$1="SKIP"</formula>
    </cfRule>
    <cfRule type="expression" dxfId="69" priority="2">
      <formula>$B7&lt;&gt;""</formula>
    </cfRule>
  </conditionalFormatting>
  <conditionalFormatting sqref="M3:M56">
    <cfRule type="expression" dxfId="70" priority="1">
      <formula>LEFT(M3,1)="⚠"</formula>
    </cfRule>
    <cfRule type="expression" dxfId="71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10",IF($O$1="SKIP","⛔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Workout","SKIP",IF(Start!$C$4="Program",IF(10&lt;=N(Start!$C$9),"FILL","SKIP"),""))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72" priority="1">
      <formula>$O$1="FILL"</formula>
    </cfRule>
    <cfRule type="expression" dxfId="73" priority="2">
      <formula>$O$1="SKIP"</formula>
    </cfRule>
    <cfRule type="expression" dxfId="74" priority="3">
      <formula>$O$1=""</formula>
    </cfRule>
  </conditionalFormatting>
  <conditionalFormatting sqref="A7:L56">
    <cfRule type="expression" dxfId="75" priority="1">
      <formula>$O$1="SKIP"</formula>
    </cfRule>
    <cfRule type="expression" dxfId="76" priority="2">
      <formula>$B7&lt;&gt;""</formula>
    </cfRule>
  </conditionalFormatting>
  <conditionalFormatting sqref="M3:M56">
    <cfRule type="expression" dxfId="77" priority="1">
      <formula>LEFT(M3,1)="⚠"</formula>
    </cfRule>
    <cfRule type="expression" dxfId="78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11",IF($O$1="SKIP","⛔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Workout","SKIP",IF(Start!$C$4="Program",IF(11&lt;=N(Start!$C$9),"FILL","SKIP"),""))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79" priority="1">
      <formula>$O$1="FILL"</formula>
    </cfRule>
    <cfRule type="expression" dxfId="80" priority="2">
      <formula>$O$1="SKIP"</formula>
    </cfRule>
    <cfRule type="expression" dxfId="81" priority="3">
      <formula>$O$1=""</formula>
    </cfRule>
  </conditionalFormatting>
  <conditionalFormatting sqref="A7:L56">
    <cfRule type="expression" dxfId="82" priority="1">
      <formula>$O$1="SKIP"</formula>
    </cfRule>
    <cfRule type="expression" dxfId="83" priority="2">
      <formula>$B7&lt;&gt;""</formula>
    </cfRule>
  </conditionalFormatting>
  <conditionalFormatting sqref="M3:M56">
    <cfRule type="expression" dxfId="84" priority="1">
      <formula>LEFT(M3,1)="⚠"</formula>
    </cfRule>
    <cfRule type="expression" dxfId="85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A6EA5"/>
  </sheetPr>
  <dimension ref="A1:O56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34" customWidth="1"/>
    <col min="4" max="4" width="26" customWidth="1"/>
    <col min="5" max="5" width="16" customWidth="1"/>
    <col min="6" max="6" width="10" customWidth="1"/>
    <col min="7" max="7" width="15" customWidth="1"/>
    <col min="8" max="8" width="7" customWidth="1"/>
    <col min="10" max="10" width="10" customWidth="1"/>
    <col min="11" max="11" width="11" customWidth="1"/>
    <col min="12" max="12" width="36" customWidth="1"/>
    <col min="13" max="13" width="34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5" x14ac:dyDescent="0.25">
      <c r="A1" s="14">
        <f>IF($O$1="FILL","✅  FILL OUT THIS SHEET — Workout 12",IF($O$1="SKIP","⛔  NOT NEEDED — leave this sheet blank","Start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O1">
        <f>IF(Start!$C$4="Single Workout","SKIP",IF(Start!$C$4="Program",IF(12&lt;=N(Start!$C$9),"FILL","SKIP"),""))</f>
      </c>
    </row>
    <row r="2" spans="15:15" x14ac:dyDescent="0.25">
      <c r="O2">
        <f>IF($O$1="FILL",COUNTIF($M$3:$M$56,"⚠*"),0)</f>
      </c>
    </row>
    <row r="3" ht="24" customHeight="1" spans="2:13" x14ac:dyDescent="0.25">
      <c r="B3" s="15" t="s">
        <v>42</v>
      </c>
      <c r="C3" s="5"/>
      <c r="D3" s="5"/>
      <c r="E3" s="5"/>
      <c r="G3" s="15" t="s">
        <v>43</v>
      </c>
      <c r="H3" s="5"/>
      <c r="I3" s="5"/>
      <c r="J3" s="5"/>
      <c r="K3" s="5"/>
      <c r="L3" s="5"/>
      <c r="M3" s="15">
        <f>IFERROR(IF($O$1&lt;&gt;"FILL","",IF($C$3="","⚠ Name this workout",IF($C$3="REST","⚠ REST is reserved for rest days — pick another name",IF(COUNTIF(Lists!$A$3:$A$14,$C$3)&gt;1,"⚠ Another workout has this name",IF(COUNTA($C$7:$D$56)=0,"⚠ Add at least one exercise","✓ Looks good"))))),"⚠ Check this row")</f>
      </c>
    </row>
    <row r="4" spans="2:13" x14ac:dyDescent="0.25">
      <c r="B4" s="2" t="s">
        <v>44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6" ht="32" customHeight="1" spans="1:13" x14ac:dyDescent="0.25">
      <c r="A6" s="7" t="s">
        <v>45</v>
      </c>
      <c r="B6" s="7" t="s">
        <v>46</v>
      </c>
      <c r="C6" s="7" t="s">
        <v>47</v>
      </c>
      <c r="D6" s="7" t="s">
        <v>48</v>
      </c>
      <c r="E6" s="7" t="s">
        <v>49</v>
      </c>
      <c r="F6" s="7" t="s">
        <v>50</v>
      </c>
      <c r="G6" s="7" t="s">
        <v>51</v>
      </c>
      <c r="H6" s="7" t="s">
        <v>52</v>
      </c>
      <c r="I6" s="7" t="s">
        <v>53</v>
      </c>
      <c r="J6" s="7" t="s">
        <v>54</v>
      </c>
      <c r="K6" s="7" t="s">
        <v>55</v>
      </c>
      <c r="L6" s="7" t="s">
        <v>56</v>
      </c>
      <c r="M6" s="7" t="s">
        <v>57</v>
      </c>
    </row>
    <row r="7" spans="1:13" x14ac:dyDescent="0.25">
      <c r="A7" s="16">
        <v>1</v>
      </c>
      <c r="B7" s="5"/>
      <c r="C7" s="5"/>
      <c r="D7" s="5"/>
      <c r="E7" s="5"/>
      <c r="F7" s="17"/>
      <c r="G7" s="5"/>
      <c r="H7" s="17"/>
      <c r="I7" s="17"/>
      <c r="J7" s="17"/>
      <c r="K7" s="17"/>
      <c r="L7" s="5"/>
      <c r="M7" s="18">
        <f>IFERROR(IF(AND($B7="",$C7="",$D7=""),IF(COUNTA($E7:$L7)&gt;0,"⚠ Pick an exercise",""),IF($B7&lt;&gt;"",IF(COUNTA($C7:$K7)&gt;0,"⚠ Put the section header on its own row","§ Section header"),IF(AND($C7&lt;&gt;"",$D7&lt;&gt;""),"⚠ Use Library OR Custom, not both",IF(AND($D7&lt;&gt;"",$E7=""),"⚠ Pick a muscle group for the custom exercise",IF(OR($H7="",$I7=""),"⚠ Enter Sets and Goal Reps",IF(IF($F7="",1=0,COUNTIF($F$7:$F$56,$F7)&lt;2),"⚠ Superset "&amp;$F7&amp;" needs 2+ exercises",IF($C7&lt;&gt;"",IFERROR("✓ "&amp;INDEX('Exercise Library'!$C$2:$C$319,MATCH($C7,'Exercise Library'!$B$2:$B$319,0))&amp;IF(INDEX('Exercise Library'!$D$2:$D$319,MATCH($C7,'Exercise Library'!$B$2:$B$319,0))="Yes"," · demo video",""),"⚠ Not in the library — use Custom Exercise"),"✓ Custom ("&amp;$E7&amp;")"))))))),"⚠ Check this row")</f>
      </c>
    </row>
    <row r="8" spans="1:13" x14ac:dyDescent="0.25">
      <c r="A8" s="16">
        <v>2</v>
      </c>
      <c r="B8" s="5"/>
      <c r="C8" s="5"/>
      <c r="D8" s="5"/>
      <c r="E8" s="5"/>
      <c r="F8" s="17"/>
      <c r="G8" s="5"/>
      <c r="H8" s="17"/>
      <c r="I8" s="17"/>
      <c r="J8" s="17"/>
      <c r="K8" s="17"/>
      <c r="L8" s="5"/>
      <c r="M8" s="18">
        <f>IFERROR(IF(AND($B8="",$C8="",$D8=""),IF(COUNTA($E8:$L8)&gt;0,"⚠ Pick an exercise",""),IF($B8&lt;&gt;"",IF(COUNTA($C8:$K8)&gt;0,"⚠ Put the section header on its own row","§ Section header"),IF(AND($C8&lt;&gt;"",$D8&lt;&gt;""),"⚠ Use Library OR Custom, not both",IF(AND($D8&lt;&gt;"",$E8=""),"⚠ Pick a muscle group for the custom exercise",IF(OR($H8="",$I8=""),"⚠ Enter Sets and Goal Reps",IF(IF($F8="",1=0,COUNTIF($F$7:$F$56,$F8)&lt;2),"⚠ Superset "&amp;$F8&amp;" needs 2+ exercises",IF($C8&lt;&gt;"",IFERROR("✓ "&amp;INDEX('Exercise Library'!$C$2:$C$319,MATCH($C8,'Exercise Library'!$B$2:$B$319,0))&amp;IF(INDEX('Exercise Library'!$D$2:$D$319,MATCH($C8,'Exercise Library'!$B$2:$B$319,0))="Yes"," · demo video",""),"⚠ Not in the library — use Custom Exercise"),"✓ Custom ("&amp;$E8&amp;")"))))))),"⚠ Check this row")</f>
      </c>
    </row>
    <row r="9" spans="1:13" x14ac:dyDescent="0.25">
      <c r="A9" s="16">
        <v>3</v>
      </c>
      <c r="B9" s="5"/>
      <c r="C9" s="5"/>
      <c r="D9" s="5"/>
      <c r="E9" s="5"/>
      <c r="F9" s="17"/>
      <c r="G9" s="5"/>
      <c r="H9" s="17"/>
      <c r="I9" s="17"/>
      <c r="J9" s="17"/>
      <c r="K9" s="17"/>
      <c r="L9" s="5"/>
      <c r="M9" s="18">
        <f>IFERROR(IF(AND($B9="",$C9="",$D9=""),IF(COUNTA($E9:$L9)&gt;0,"⚠ Pick an exercise",""),IF($B9&lt;&gt;"",IF(COUNTA($C9:$K9)&gt;0,"⚠ Put the section header on its own row","§ Section header"),IF(AND($C9&lt;&gt;"",$D9&lt;&gt;""),"⚠ Use Library OR Custom, not both",IF(AND($D9&lt;&gt;"",$E9=""),"⚠ Pick a muscle group for the custom exercise",IF(OR($H9="",$I9=""),"⚠ Enter Sets and Goal Reps",IF(IF($F9="",1=0,COUNTIF($F$7:$F$56,$F9)&lt;2),"⚠ Superset "&amp;$F9&amp;" needs 2+ exercises",IF($C9&lt;&gt;"",IFERROR("✓ "&amp;INDEX('Exercise Library'!$C$2:$C$319,MATCH($C9,'Exercise Library'!$B$2:$B$319,0))&amp;IF(INDEX('Exercise Library'!$D$2:$D$319,MATCH($C9,'Exercise Library'!$B$2:$B$319,0))="Yes"," · demo video",""),"⚠ Not in the library — use Custom Exercise"),"✓ Custom ("&amp;$E9&amp;")"))))))),"⚠ Check this row")</f>
      </c>
    </row>
    <row r="10" spans="1:13" x14ac:dyDescent="0.25">
      <c r="A10" s="16">
        <v>4</v>
      </c>
      <c r="B10" s="5"/>
      <c r="C10" s="5"/>
      <c r="D10" s="5"/>
      <c r="E10" s="5"/>
      <c r="F10" s="17"/>
      <c r="G10" s="5"/>
      <c r="H10" s="17"/>
      <c r="I10" s="17"/>
      <c r="J10" s="17"/>
      <c r="K10" s="17"/>
      <c r="L10" s="5"/>
      <c r="M10" s="18">
        <f>IFERROR(IF(AND($B10="",$C10="",$D10=""),IF(COUNTA($E10:$L10)&gt;0,"⚠ Pick an exercise",""),IF($B10&lt;&gt;"",IF(COUNTA($C10:$K10)&gt;0,"⚠ Put the section header on its own row","§ Section header"),IF(AND($C10&lt;&gt;"",$D10&lt;&gt;""),"⚠ Use Library OR Custom, not both",IF(AND($D10&lt;&gt;"",$E10=""),"⚠ Pick a muscle group for the custom exercise",IF(OR($H10="",$I10=""),"⚠ Enter Sets and Goal Reps",IF(IF($F10="",1=0,COUNTIF($F$7:$F$56,$F10)&lt;2),"⚠ Superset "&amp;$F10&amp;" needs 2+ exercises",IF($C10&lt;&gt;"",IFERROR("✓ "&amp;INDEX('Exercise Library'!$C$2:$C$319,MATCH($C10,'Exercise Library'!$B$2:$B$319,0))&amp;IF(INDEX('Exercise Library'!$D$2:$D$319,MATCH($C10,'Exercise Library'!$B$2:$B$319,0))="Yes"," · demo video",""),"⚠ Not in the library — use Custom Exercise"),"✓ Custom ("&amp;$E10&amp;")"))))))),"⚠ Check this row")</f>
      </c>
    </row>
    <row r="11" spans="1:13" x14ac:dyDescent="0.25">
      <c r="A11" s="16">
        <v>5</v>
      </c>
      <c r="B11" s="5"/>
      <c r="C11" s="5"/>
      <c r="D11" s="5"/>
      <c r="E11" s="5"/>
      <c r="F11" s="17"/>
      <c r="G11" s="5"/>
      <c r="H11" s="17"/>
      <c r="I11" s="17"/>
      <c r="J11" s="17"/>
      <c r="K11" s="17"/>
      <c r="L11" s="5"/>
      <c r="M11" s="18">
        <f>IFERROR(IF(AND($B11="",$C11="",$D11=""),IF(COUNTA($E11:$L11)&gt;0,"⚠ Pick an exercise",""),IF($B11&lt;&gt;"",IF(COUNTA($C11:$K11)&gt;0,"⚠ Put the section header on its own row","§ Section header"),IF(AND($C11&lt;&gt;"",$D11&lt;&gt;""),"⚠ Use Library OR Custom, not both",IF(AND($D11&lt;&gt;"",$E11=""),"⚠ Pick a muscle group for the custom exercise",IF(OR($H11="",$I11=""),"⚠ Enter Sets and Goal Reps",IF(IF($F11="",1=0,COUNTIF($F$7:$F$56,$F11)&lt;2),"⚠ Superset "&amp;$F11&amp;" needs 2+ exercises",IF($C11&lt;&gt;"",IFERROR("✓ "&amp;INDEX('Exercise Library'!$C$2:$C$319,MATCH($C11,'Exercise Library'!$B$2:$B$319,0))&amp;IF(INDEX('Exercise Library'!$D$2:$D$319,MATCH($C11,'Exercise Library'!$B$2:$B$319,0))="Yes"," · demo video",""),"⚠ Not in the library — use Custom Exercise"),"✓ Custom ("&amp;$E11&amp;")"))))))),"⚠ Check this row")</f>
      </c>
    </row>
    <row r="12" spans="1:13" x14ac:dyDescent="0.25">
      <c r="A12" s="16">
        <v>6</v>
      </c>
      <c r="B12" s="5"/>
      <c r="C12" s="5"/>
      <c r="D12" s="5"/>
      <c r="E12" s="5"/>
      <c r="F12" s="17"/>
      <c r="G12" s="5"/>
      <c r="H12" s="17"/>
      <c r="I12" s="17"/>
      <c r="J12" s="17"/>
      <c r="K12" s="17"/>
      <c r="L12" s="5"/>
      <c r="M12" s="18">
        <f>IFERROR(IF(AND($B12="",$C12="",$D12=""),IF(COUNTA($E12:$L12)&gt;0,"⚠ Pick an exercise",""),IF($B12&lt;&gt;"",IF(COUNTA($C12:$K12)&gt;0,"⚠ Put the section header on its own row","§ Section header"),IF(AND($C12&lt;&gt;"",$D12&lt;&gt;""),"⚠ Use Library OR Custom, not both",IF(AND($D12&lt;&gt;"",$E12=""),"⚠ Pick a muscle group for the custom exercise",IF(OR($H12="",$I12=""),"⚠ Enter Sets and Goal Reps",IF(IF($F12="",1=0,COUNTIF($F$7:$F$56,$F12)&lt;2),"⚠ Superset "&amp;$F12&amp;" needs 2+ exercises",IF($C12&lt;&gt;"",IFERROR("✓ "&amp;INDEX('Exercise Library'!$C$2:$C$319,MATCH($C12,'Exercise Library'!$B$2:$B$319,0))&amp;IF(INDEX('Exercise Library'!$D$2:$D$319,MATCH($C12,'Exercise Library'!$B$2:$B$319,0))="Yes"," · demo video",""),"⚠ Not in the library — use Custom Exercise"),"✓ Custom ("&amp;$E12&amp;")"))))))),"⚠ Check this row")</f>
      </c>
    </row>
    <row r="13" spans="1:13" x14ac:dyDescent="0.25">
      <c r="A13" s="16">
        <v>7</v>
      </c>
      <c r="B13" s="5"/>
      <c r="C13" s="5"/>
      <c r="D13" s="5"/>
      <c r="E13" s="5"/>
      <c r="F13" s="17"/>
      <c r="G13" s="5"/>
      <c r="H13" s="17"/>
      <c r="I13" s="17"/>
      <c r="J13" s="17"/>
      <c r="K13" s="17"/>
      <c r="L13" s="5"/>
      <c r="M13" s="18">
        <f>IFERROR(IF(AND($B13="",$C13="",$D13=""),IF(COUNTA($E13:$L13)&gt;0,"⚠ Pick an exercise",""),IF($B13&lt;&gt;"",IF(COUNTA($C13:$K13)&gt;0,"⚠ Put the section header on its own row","§ Section header"),IF(AND($C13&lt;&gt;"",$D13&lt;&gt;""),"⚠ Use Library OR Custom, not both",IF(AND($D13&lt;&gt;"",$E13=""),"⚠ Pick a muscle group for the custom exercise",IF(OR($H13="",$I13=""),"⚠ Enter Sets and Goal Reps",IF(IF($F13="",1=0,COUNTIF($F$7:$F$56,$F13)&lt;2),"⚠ Superset "&amp;$F13&amp;" needs 2+ exercises",IF($C13&lt;&gt;"",IFERROR("✓ "&amp;INDEX('Exercise Library'!$C$2:$C$319,MATCH($C13,'Exercise Library'!$B$2:$B$319,0))&amp;IF(INDEX('Exercise Library'!$D$2:$D$319,MATCH($C13,'Exercise Library'!$B$2:$B$319,0))="Yes"," · demo video",""),"⚠ Not in the library — use Custom Exercise"),"✓ Custom ("&amp;$E13&amp;")"))))))),"⚠ Check this row")</f>
      </c>
    </row>
    <row r="14" spans="1:13" x14ac:dyDescent="0.25">
      <c r="A14" s="16">
        <v>8</v>
      </c>
      <c r="B14" s="5"/>
      <c r="C14" s="5"/>
      <c r="D14" s="5"/>
      <c r="E14" s="5"/>
      <c r="F14" s="17"/>
      <c r="G14" s="5"/>
      <c r="H14" s="17"/>
      <c r="I14" s="17"/>
      <c r="J14" s="17"/>
      <c r="K14" s="17"/>
      <c r="L14" s="5"/>
      <c r="M14" s="18">
        <f>IFERROR(IF(AND($B14="",$C14="",$D14=""),IF(COUNTA($E14:$L14)&gt;0,"⚠ Pick an exercise",""),IF($B14&lt;&gt;"",IF(COUNTA($C14:$K14)&gt;0,"⚠ Put the section header on its own row","§ Section header"),IF(AND($C14&lt;&gt;"",$D14&lt;&gt;""),"⚠ Use Library OR Custom, not both",IF(AND($D14&lt;&gt;"",$E14=""),"⚠ Pick a muscle group for the custom exercise",IF(OR($H14="",$I14=""),"⚠ Enter Sets and Goal Reps",IF(IF($F14="",1=0,COUNTIF($F$7:$F$56,$F14)&lt;2),"⚠ Superset "&amp;$F14&amp;" needs 2+ exercises",IF($C14&lt;&gt;"",IFERROR("✓ "&amp;INDEX('Exercise Library'!$C$2:$C$319,MATCH($C14,'Exercise Library'!$B$2:$B$319,0))&amp;IF(INDEX('Exercise Library'!$D$2:$D$319,MATCH($C14,'Exercise Library'!$B$2:$B$319,0))="Yes"," · demo video",""),"⚠ Not in the library — use Custom Exercise"),"✓ Custom ("&amp;$E14&amp;")"))))))),"⚠ Check this row")</f>
      </c>
    </row>
    <row r="15" spans="1:13" x14ac:dyDescent="0.25">
      <c r="A15" s="16">
        <v>9</v>
      </c>
      <c r="B15" s="5"/>
      <c r="C15" s="5"/>
      <c r="D15" s="5"/>
      <c r="E15" s="5"/>
      <c r="F15" s="17"/>
      <c r="G15" s="5"/>
      <c r="H15" s="17"/>
      <c r="I15" s="17"/>
      <c r="J15" s="17"/>
      <c r="K15" s="17"/>
      <c r="L15" s="5"/>
      <c r="M15" s="18">
        <f>IFERROR(IF(AND($B15="",$C15="",$D15=""),IF(COUNTA($E15:$L15)&gt;0,"⚠ Pick an exercise",""),IF($B15&lt;&gt;"",IF(COUNTA($C15:$K15)&gt;0,"⚠ Put the section header on its own row","§ Section header"),IF(AND($C15&lt;&gt;"",$D15&lt;&gt;""),"⚠ Use Library OR Custom, not both",IF(AND($D15&lt;&gt;"",$E15=""),"⚠ Pick a muscle group for the custom exercise",IF(OR($H15="",$I15=""),"⚠ Enter Sets and Goal Reps",IF(IF($F15="",1=0,COUNTIF($F$7:$F$56,$F15)&lt;2),"⚠ Superset "&amp;$F15&amp;" needs 2+ exercises",IF($C15&lt;&gt;"",IFERROR("✓ "&amp;INDEX('Exercise Library'!$C$2:$C$319,MATCH($C15,'Exercise Library'!$B$2:$B$319,0))&amp;IF(INDEX('Exercise Library'!$D$2:$D$319,MATCH($C15,'Exercise Library'!$B$2:$B$319,0))="Yes"," · demo video",""),"⚠ Not in the library — use Custom Exercise"),"✓ Custom ("&amp;$E15&amp;")"))))))),"⚠ Check this row")</f>
      </c>
    </row>
    <row r="16" spans="1:13" x14ac:dyDescent="0.25">
      <c r="A16" s="16">
        <v>10</v>
      </c>
      <c r="B16" s="5"/>
      <c r="C16" s="5"/>
      <c r="D16" s="5"/>
      <c r="E16" s="5"/>
      <c r="F16" s="17"/>
      <c r="G16" s="5"/>
      <c r="H16" s="17"/>
      <c r="I16" s="17"/>
      <c r="J16" s="17"/>
      <c r="K16" s="17"/>
      <c r="L16" s="5"/>
      <c r="M16" s="18">
        <f>IFERROR(IF(AND($B16="",$C16="",$D16=""),IF(COUNTA($E16:$L16)&gt;0,"⚠ Pick an exercise",""),IF($B16&lt;&gt;"",IF(COUNTA($C16:$K16)&gt;0,"⚠ Put the section header on its own row","§ Section header"),IF(AND($C16&lt;&gt;"",$D16&lt;&gt;""),"⚠ Use Library OR Custom, not both",IF(AND($D16&lt;&gt;"",$E16=""),"⚠ Pick a muscle group for the custom exercise",IF(OR($H16="",$I16=""),"⚠ Enter Sets and Goal Reps",IF(IF($F16="",1=0,COUNTIF($F$7:$F$56,$F16)&lt;2),"⚠ Superset "&amp;$F16&amp;" needs 2+ exercises",IF($C16&lt;&gt;"",IFERROR("✓ "&amp;INDEX('Exercise Library'!$C$2:$C$319,MATCH($C16,'Exercise Library'!$B$2:$B$319,0))&amp;IF(INDEX('Exercise Library'!$D$2:$D$319,MATCH($C16,'Exercise Library'!$B$2:$B$319,0))="Yes"," · demo video",""),"⚠ Not in the library — use Custom Exercise"),"✓ Custom ("&amp;$E16&amp;")"))))))),"⚠ Check this row")</f>
      </c>
    </row>
    <row r="17" spans="1:13" x14ac:dyDescent="0.25">
      <c r="A17" s="16">
        <v>11</v>
      </c>
      <c r="B17" s="5"/>
      <c r="C17" s="5"/>
      <c r="D17" s="5"/>
      <c r="E17" s="5"/>
      <c r="F17" s="17"/>
      <c r="G17" s="5"/>
      <c r="H17" s="17"/>
      <c r="I17" s="17"/>
      <c r="J17" s="17"/>
      <c r="K17" s="17"/>
      <c r="L17" s="5"/>
      <c r="M17" s="18">
        <f>IFERROR(IF(AND($B17="",$C17="",$D17=""),IF(COUNTA($E17:$L17)&gt;0,"⚠ Pick an exercise",""),IF($B17&lt;&gt;"",IF(COUNTA($C17:$K17)&gt;0,"⚠ Put the section header on its own row","§ Section header"),IF(AND($C17&lt;&gt;"",$D17&lt;&gt;""),"⚠ Use Library OR Custom, not both",IF(AND($D17&lt;&gt;"",$E17=""),"⚠ Pick a muscle group for the custom exercise",IF(OR($H17="",$I17=""),"⚠ Enter Sets and Goal Reps",IF(IF($F17="",1=0,COUNTIF($F$7:$F$56,$F17)&lt;2),"⚠ Superset "&amp;$F17&amp;" needs 2+ exercises",IF($C17&lt;&gt;"",IFERROR("✓ "&amp;INDEX('Exercise Library'!$C$2:$C$319,MATCH($C17,'Exercise Library'!$B$2:$B$319,0))&amp;IF(INDEX('Exercise Library'!$D$2:$D$319,MATCH($C17,'Exercise Library'!$B$2:$B$319,0))="Yes"," · demo video",""),"⚠ Not in the library — use Custom Exercise"),"✓ Custom ("&amp;$E17&amp;")"))))))),"⚠ Check this row")</f>
      </c>
    </row>
    <row r="18" spans="1:13" x14ac:dyDescent="0.25">
      <c r="A18" s="16">
        <v>12</v>
      </c>
      <c r="B18" s="5"/>
      <c r="C18" s="5"/>
      <c r="D18" s="5"/>
      <c r="E18" s="5"/>
      <c r="F18" s="17"/>
      <c r="G18" s="5"/>
      <c r="H18" s="17"/>
      <c r="I18" s="17"/>
      <c r="J18" s="17"/>
      <c r="K18" s="17"/>
      <c r="L18" s="5"/>
      <c r="M18" s="18">
        <f>IFERROR(IF(AND($B18="",$C18="",$D18=""),IF(COUNTA($E18:$L18)&gt;0,"⚠ Pick an exercise",""),IF($B18&lt;&gt;"",IF(COUNTA($C18:$K18)&gt;0,"⚠ Put the section header on its own row","§ Section header"),IF(AND($C18&lt;&gt;"",$D18&lt;&gt;""),"⚠ Use Library OR Custom, not both",IF(AND($D18&lt;&gt;"",$E18=""),"⚠ Pick a muscle group for the custom exercise",IF(OR($H18="",$I18=""),"⚠ Enter Sets and Goal Reps",IF(IF($F18="",1=0,COUNTIF($F$7:$F$56,$F18)&lt;2),"⚠ Superset "&amp;$F18&amp;" needs 2+ exercises",IF($C18&lt;&gt;"",IFERROR("✓ "&amp;INDEX('Exercise Library'!$C$2:$C$319,MATCH($C18,'Exercise Library'!$B$2:$B$319,0))&amp;IF(INDEX('Exercise Library'!$D$2:$D$319,MATCH($C18,'Exercise Library'!$B$2:$B$319,0))="Yes"," · demo video",""),"⚠ Not in the library — use Custom Exercise"),"✓ Custom ("&amp;$E18&amp;")"))))))),"⚠ Check this row")</f>
      </c>
    </row>
    <row r="19" spans="1:13" x14ac:dyDescent="0.25">
      <c r="A19" s="16">
        <v>13</v>
      </c>
      <c r="B19" s="5"/>
      <c r="C19" s="5"/>
      <c r="D19" s="5"/>
      <c r="E19" s="5"/>
      <c r="F19" s="17"/>
      <c r="G19" s="5"/>
      <c r="H19" s="17"/>
      <c r="I19" s="17"/>
      <c r="J19" s="17"/>
      <c r="K19" s="17"/>
      <c r="L19" s="5"/>
      <c r="M19" s="18">
        <f>IFERROR(IF(AND($B19="",$C19="",$D19=""),IF(COUNTA($E19:$L19)&gt;0,"⚠ Pick an exercise",""),IF($B19&lt;&gt;"",IF(COUNTA($C19:$K19)&gt;0,"⚠ Put the section header on its own row","§ Section header"),IF(AND($C19&lt;&gt;"",$D19&lt;&gt;""),"⚠ Use Library OR Custom, not both",IF(AND($D19&lt;&gt;"",$E19=""),"⚠ Pick a muscle group for the custom exercise",IF(OR($H19="",$I19=""),"⚠ Enter Sets and Goal Reps",IF(IF($F19="",1=0,COUNTIF($F$7:$F$56,$F19)&lt;2),"⚠ Superset "&amp;$F19&amp;" needs 2+ exercises",IF($C19&lt;&gt;"",IFERROR("✓ "&amp;INDEX('Exercise Library'!$C$2:$C$319,MATCH($C19,'Exercise Library'!$B$2:$B$319,0))&amp;IF(INDEX('Exercise Library'!$D$2:$D$319,MATCH($C19,'Exercise Library'!$B$2:$B$319,0))="Yes"," · demo video",""),"⚠ Not in the library — use Custom Exercise"),"✓ Custom ("&amp;$E19&amp;")"))))))),"⚠ Check this row")</f>
      </c>
    </row>
    <row r="20" spans="1:13" x14ac:dyDescent="0.25">
      <c r="A20" s="16">
        <v>14</v>
      </c>
      <c r="B20" s="5"/>
      <c r="C20" s="5"/>
      <c r="D20" s="5"/>
      <c r="E20" s="5"/>
      <c r="F20" s="17"/>
      <c r="G20" s="5"/>
      <c r="H20" s="17"/>
      <c r="I20" s="17"/>
      <c r="J20" s="17"/>
      <c r="K20" s="17"/>
      <c r="L20" s="5"/>
      <c r="M20" s="18">
        <f>IFERROR(IF(AND($B20="",$C20="",$D20=""),IF(COUNTA($E20:$L20)&gt;0,"⚠ Pick an exercise",""),IF($B20&lt;&gt;"",IF(COUNTA($C20:$K20)&gt;0,"⚠ Put the section header on its own row","§ Section header"),IF(AND($C20&lt;&gt;"",$D20&lt;&gt;""),"⚠ Use Library OR Custom, not both",IF(AND($D20&lt;&gt;"",$E20=""),"⚠ Pick a muscle group for the custom exercise",IF(OR($H20="",$I20=""),"⚠ Enter Sets and Goal Reps",IF(IF($F20="",1=0,COUNTIF($F$7:$F$56,$F20)&lt;2),"⚠ Superset "&amp;$F20&amp;" needs 2+ exercises",IF($C20&lt;&gt;"",IFERROR("✓ "&amp;INDEX('Exercise Library'!$C$2:$C$319,MATCH($C20,'Exercise Library'!$B$2:$B$319,0))&amp;IF(INDEX('Exercise Library'!$D$2:$D$319,MATCH($C20,'Exercise Library'!$B$2:$B$319,0))="Yes"," · demo video",""),"⚠ Not in the library — use Custom Exercise"),"✓ Custom ("&amp;$E20&amp;")"))))))),"⚠ Check this row")</f>
      </c>
    </row>
    <row r="21" spans="1:13" x14ac:dyDescent="0.25">
      <c r="A21" s="16">
        <v>15</v>
      </c>
      <c r="B21" s="5"/>
      <c r="C21" s="5"/>
      <c r="D21" s="5"/>
      <c r="E21" s="5"/>
      <c r="F21" s="17"/>
      <c r="G21" s="5"/>
      <c r="H21" s="17"/>
      <c r="I21" s="17"/>
      <c r="J21" s="17"/>
      <c r="K21" s="17"/>
      <c r="L21" s="5"/>
      <c r="M21" s="18">
        <f>IFERROR(IF(AND($B21="",$C21="",$D21=""),IF(COUNTA($E21:$L21)&gt;0,"⚠ Pick an exercise",""),IF($B21&lt;&gt;"",IF(COUNTA($C21:$K21)&gt;0,"⚠ Put the section header on its own row","§ Section header"),IF(AND($C21&lt;&gt;"",$D21&lt;&gt;""),"⚠ Use Library OR Custom, not both",IF(AND($D21&lt;&gt;"",$E21=""),"⚠ Pick a muscle group for the custom exercise",IF(OR($H21="",$I21=""),"⚠ Enter Sets and Goal Reps",IF(IF($F21="",1=0,COUNTIF($F$7:$F$56,$F21)&lt;2),"⚠ Superset "&amp;$F21&amp;" needs 2+ exercises",IF($C21&lt;&gt;"",IFERROR("✓ "&amp;INDEX('Exercise Library'!$C$2:$C$319,MATCH($C21,'Exercise Library'!$B$2:$B$319,0))&amp;IF(INDEX('Exercise Library'!$D$2:$D$319,MATCH($C21,'Exercise Library'!$B$2:$B$319,0))="Yes"," · demo video",""),"⚠ Not in the library — use Custom Exercise"),"✓ Custom ("&amp;$E21&amp;")"))))))),"⚠ Check this row")</f>
      </c>
    </row>
    <row r="22" spans="1:13" x14ac:dyDescent="0.25">
      <c r="A22" s="16">
        <v>16</v>
      </c>
      <c r="B22" s="5"/>
      <c r="C22" s="5"/>
      <c r="D22" s="5"/>
      <c r="E22" s="5"/>
      <c r="F22" s="17"/>
      <c r="G22" s="5"/>
      <c r="H22" s="17"/>
      <c r="I22" s="17"/>
      <c r="J22" s="17"/>
      <c r="K22" s="17"/>
      <c r="L22" s="5"/>
      <c r="M22" s="18">
        <f>IFERROR(IF(AND($B22="",$C22="",$D22=""),IF(COUNTA($E22:$L22)&gt;0,"⚠ Pick an exercise",""),IF($B22&lt;&gt;"",IF(COUNTA($C22:$K22)&gt;0,"⚠ Put the section header on its own row","§ Section header"),IF(AND($C22&lt;&gt;"",$D22&lt;&gt;""),"⚠ Use Library OR Custom, not both",IF(AND($D22&lt;&gt;"",$E22=""),"⚠ Pick a muscle group for the custom exercise",IF(OR($H22="",$I22=""),"⚠ Enter Sets and Goal Reps",IF(IF($F22="",1=0,COUNTIF($F$7:$F$56,$F22)&lt;2),"⚠ Superset "&amp;$F22&amp;" needs 2+ exercises",IF($C22&lt;&gt;"",IFERROR("✓ "&amp;INDEX('Exercise Library'!$C$2:$C$319,MATCH($C22,'Exercise Library'!$B$2:$B$319,0))&amp;IF(INDEX('Exercise Library'!$D$2:$D$319,MATCH($C22,'Exercise Library'!$B$2:$B$319,0))="Yes"," · demo video",""),"⚠ Not in the library — use Custom Exercise"),"✓ Custom ("&amp;$E22&amp;")"))))))),"⚠ Check this row")</f>
      </c>
    </row>
    <row r="23" spans="1:13" x14ac:dyDescent="0.25">
      <c r="A23" s="16">
        <v>17</v>
      </c>
      <c r="B23" s="5"/>
      <c r="C23" s="5"/>
      <c r="D23" s="5"/>
      <c r="E23" s="5"/>
      <c r="F23" s="17"/>
      <c r="G23" s="5"/>
      <c r="H23" s="17"/>
      <c r="I23" s="17"/>
      <c r="J23" s="17"/>
      <c r="K23" s="17"/>
      <c r="L23" s="5"/>
      <c r="M23" s="18">
        <f>IFERROR(IF(AND($B23="",$C23="",$D23=""),IF(COUNTA($E23:$L23)&gt;0,"⚠ Pick an exercise",""),IF($B23&lt;&gt;"",IF(COUNTA($C23:$K23)&gt;0,"⚠ Put the section header on its own row","§ Section header"),IF(AND($C23&lt;&gt;"",$D23&lt;&gt;""),"⚠ Use Library OR Custom, not both",IF(AND($D23&lt;&gt;"",$E23=""),"⚠ Pick a muscle group for the custom exercise",IF(OR($H23="",$I23=""),"⚠ Enter Sets and Goal Reps",IF(IF($F23="",1=0,COUNTIF($F$7:$F$56,$F23)&lt;2),"⚠ Superset "&amp;$F23&amp;" needs 2+ exercises",IF($C23&lt;&gt;"",IFERROR("✓ "&amp;INDEX('Exercise Library'!$C$2:$C$319,MATCH($C23,'Exercise Library'!$B$2:$B$319,0))&amp;IF(INDEX('Exercise Library'!$D$2:$D$319,MATCH($C23,'Exercise Library'!$B$2:$B$319,0))="Yes"," · demo video",""),"⚠ Not in the library — use Custom Exercise"),"✓ Custom ("&amp;$E23&amp;")"))))))),"⚠ Check this row")</f>
      </c>
    </row>
    <row r="24" spans="1:13" x14ac:dyDescent="0.25">
      <c r="A24" s="16">
        <v>18</v>
      </c>
      <c r="B24" s="5"/>
      <c r="C24" s="5"/>
      <c r="D24" s="5"/>
      <c r="E24" s="5"/>
      <c r="F24" s="17"/>
      <c r="G24" s="5"/>
      <c r="H24" s="17"/>
      <c r="I24" s="17"/>
      <c r="J24" s="17"/>
      <c r="K24" s="17"/>
      <c r="L24" s="5"/>
      <c r="M24" s="18">
        <f>IFERROR(IF(AND($B24="",$C24="",$D24=""),IF(COUNTA($E24:$L24)&gt;0,"⚠ Pick an exercise",""),IF($B24&lt;&gt;"",IF(COUNTA($C24:$K24)&gt;0,"⚠ Put the section header on its own row","§ Section header"),IF(AND($C24&lt;&gt;"",$D24&lt;&gt;""),"⚠ Use Library OR Custom, not both",IF(AND($D24&lt;&gt;"",$E24=""),"⚠ Pick a muscle group for the custom exercise",IF(OR($H24="",$I24=""),"⚠ Enter Sets and Goal Reps",IF(IF($F24="",1=0,COUNTIF($F$7:$F$56,$F24)&lt;2),"⚠ Superset "&amp;$F24&amp;" needs 2+ exercises",IF($C24&lt;&gt;"",IFERROR("✓ "&amp;INDEX('Exercise Library'!$C$2:$C$319,MATCH($C24,'Exercise Library'!$B$2:$B$319,0))&amp;IF(INDEX('Exercise Library'!$D$2:$D$319,MATCH($C24,'Exercise Library'!$B$2:$B$319,0))="Yes"," · demo video",""),"⚠ Not in the library — use Custom Exercise"),"✓ Custom ("&amp;$E24&amp;")"))))))),"⚠ Check this row")</f>
      </c>
    </row>
    <row r="25" spans="1:13" x14ac:dyDescent="0.25">
      <c r="A25" s="16">
        <v>19</v>
      </c>
      <c r="B25" s="5"/>
      <c r="C25" s="5"/>
      <c r="D25" s="5"/>
      <c r="E25" s="5"/>
      <c r="F25" s="17"/>
      <c r="G25" s="5"/>
      <c r="H25" s="17"/>
      <c r="I25" s="17"/>
      <c r="J25" s="17"/>
      <c r="K25" s="17"/>
      <c r="L25" s="5"/>
      <c r="M25" s="18">
        <f>IFERROR(IF(AND($B25="",$C25="",$D25=""),IF(COUNTA($E25:$L25)&gt;0,"⚠ Pick an exercise",""),IF($B25&lt;&gt;"",IF(COUNTA($C25:$K25)&gt;0,"⚠ Put the section header on its own row","§ Section header"),IF(AND($C25&lt;&gt;"",$D25&lt;&gt;""),"⚠ Use Library OR Custom, not both",IF(AND($D25&lt;&gt;"",$E25=""),"⚠ Pick a muscle group for the custom exercise",IF(OR($H25="",$I25=""),"⚠ Enter Sets and Goal Reps",IF(IF($F25="",1=0,COUNTIF($F$7:$F$56,$F25)&lt;2),"⚠ Superset "&amp;$F25&amp;" needs 2+ exercises",IF($C25&lt;&gt;"",IFERROR("✓ "&amp;INDEX('Exercise Library'!$C$2:$C$319,MATCH($C25,'Exercise Library'!$B$2:$B$319,0))&amp;IF(INDEX('Exercise Library'!$D$2:$D$319,MATCH($C25,'Exercise Library'!$B$2:$B$319,0))="Yes"," · demo video",""),"⚠ Not in the library — use Custom Exercise"),"✓ Custom ("&amp;$E25&amp;")"))))))),"⚠ Check this row")</f>
      </c>
    </row>
    <row r="26" spans="1:13" x14ac:dyDescent="0.25">
      <c r="A26" s="16">
        <v>20</v>
      </c>
      <c r="B26" s="5"/>
      <c r="C26" s="5"/>
      <c r="D26" s="5"/>
      <c r="E26" s="5"/>
      <c r="F26" s="17"/>
      <c r="G26" s="5"/>
      <c r="H26" s="17"/>
      <c r="I26" s="17"/>
      <c r="J26" s="17"/>
      <c r="K26" s="17"/>
      <c r="L26" s="5"/>
      <c r="M26" s="18">
        <f>IFERROR(IF(AND($B26="",$C26="",$D26=""),IF(COUNTA($E26:$L26)&gt;0,"⚠ Pick an exercise",""),IF($B26&lt;&gt;"",IF(COUNTA($C26:$K26)&gt;0,"⚠ Put the section header on its own row","§ Section header"),IF(AND($C26&lt;&gt;"",$D26&lt;&gt;""),"⚠ Use Library OR Custom, not both",IF(AND($D26&lt;&gt;"",$E26=""),"⚠ Pick a muscle group for the custom exercise",IF(OR($H26="",$I26=""),"⚠ Enter Sets and Goal Reps",IF(IF($F26="",1=0,COUNTIF($F$7:$F$56,$F26)&lt;2),"⚠ Superset "&amp;$F26&amp;" needs 2+ exercises",IF($C26&lt;&gt;"",IFERROR("✓ "&amp;INDEX('Exercise Library'!$C$2:$C$319,MATCH($C26,'Exercise Library'!$B$2:$B$319,0))&amp;IF(INDEX('Exercise Library'!$D$2:$D$319,MATCH($C26,'Exercise Library'!$B$2:$B$319,0))="Yes"," · demo video",""),"⚠ Not in the library — use Custom Exercise"),"✓ Custom ("&amp;$E26&amp;")"))))))),"⚠ Check this row")</f>
      </c>
    </row>
    <row r="27" spans="1:13" x14ac:dyDescent="0.25">
      <c r="A27" s="16">
        <v>21</v>
      </c>
      <c r="B27" s="5"/>
      <c r="C27" s="5"/>
      <c r="D27" s="5"/>
      <c r="E27" s="5"/>
      <c r="F27" s="17"/>
      <c r="G27" s="5"/>
      <c r="H27" s="17"/>
      <c r="I27" s="17"/>
      <c r="J27" s="17"/>
      <c r="K27" s="17"/>
      <c r="L27" s="5"/>
      <c r="M27" s="18">
        <f>IFERROR(IF(AND($B27="",$C27="",$D27=""),IF(COUNTA($E27:$L27)&gt;0,"⚠ Pick an exercise",""),IF($B27&lt;&gt;"",IF(COUNTA($C27:$K27)&gt;0,"⚠ Put the section header on its own row","§ Section header"),IF(AND($C27&lt;&gt;"",$D27&lt;&gt;""),"⚠ Use Library OR Custom, not both",IF(AND($D27&lt;&gt;"",$E27=""),"⚠ Pick a muscle group for the custom exercise",IF(OR($H27="",$I27=""),"⚠ Enter Sets and Goal Reps",IF(IF($F27="",1=0,COUNTIF($F$7:$F$56,$F27)&lt;2),"⚠ Superset "&amp;$F27&amp;" needs 2+ exercises",IF($C27&lt;&gt;"",IFERROR("✓ "&amp;INDEX('Exercise Library'!$C$2:$C$319,MATCH($C27,'Exercise Library'!$B$2:$B$319,0))&amp;IF(INDEX('Exercise Library'!$D$2:$D$319,MATCH($C27,'Exercise Library'!$B$2:$B$319,0))="Yes"," · demo video",""),"⚠ Not in the library — use Custom Exercise"),"✓ Custom ("&amp;$E27&amp;")"))))))),"⚠ Check this row")</f>
      </c>
    </row>
    <row r="28" spans="1:13" x14ac:dyDescent="0.25">
      <c r="A28" s="16">
        <v>22</v>
      </c>
      <c r="B28" s="5"/>
      <c r="C28" s="5"/>
      <c r="D28" s="5"/>
      <c r="E28" s="5"/>
      <c r="F28" s="17"/>
      <c r="G28" s="5"/>
      <c r="H28" s="17"/>
      <c r="I28" s="17"/>
      <c r="J28" s="17"/>
      <c r="K28" s="17"/>
      <c r="L28" s="5"/>
      <c r="M28" s="18">
        <f>IFERROR(IF(AND($B28="",$C28="",$D28=""),IF(COUNTA($E28:$L28)&gt;0,"⚠ Pick an exercise",""),IF($B28&lt;&gt;"",IF(COUNTA($C28:$K28)&gt;0,"⚠ Put the section header on its own row","§ Section header"),IF(AND($C28&lt;&gt;"",$D28&lt;&gt;""),"⚠ Use Library OR Custom, not both",IF(AND($D28&lt;&gt;"",$E28=""),"⚠ Pick a muscle group for the custom exercise",IF(OR($H28="",$I28=""),"⚠ Enter Sets and Goal Reps",IF(IF($F28="",1=0,COUNTIF($F$7:$F$56,$F28)&lt;2),"⚠ Superset "&amp;$F28&amp;" needs 2+ exercises",IF($C28&lt;&gt;"",IFERROR("✓ "&amp;INDEX('Exercise Library'!$C$2:$C$319,MATCH($C28,'Exercise Library'!$B$2:$B$319,0))&amp;IF(INDEX('Exercise Library'!$D$2:$D$319,MATCH($C28,'Exercise Library'!$B$2:$B$319,0))="Yes"," · demo video",""),"⚠ Not in the library — use Custom Exercise"),"✓ Custom ("&amp;$E28&amp;")"))))))),"⚠ Check this row")</f>
      </c>
    </row>
    <row r="29" spans="1:13" x14ac:dyDescent="0.25">
      <c r="A29" s="16">
        <v>23</v>
      </c>
      <c r="B29" s="5"/>
      <c r="C29" s="5"/>
      <c r="D29" s="5"/>
      <c r="E29" s="5"/>
      <c r="F29" s="17"/>
      <c r="G29" s="5"/>
      <c r="H29" s="17"/>
      <c r="I29" s="17"/>
      <c r="J29" s="17"/>
      <c r="K29" s="17"/>
      <c r="L29" s="5"/>
      <c r="M29" s="18">
        <f>IFERROR(IF(AND($B29="",$C29="",$D29=""),IF(COUNTA($E29:$L29)&gt;0,"⚠ Pick an exercise",""),IF($B29&lt;&gt;"",IF(COUNTA($C29:$K29)&gt;0,"⚠ Put the section header on its own row","§ Section header"),IF(AND($C29&lt;&gt;"",$D29&lt;&gt;""),"⚠ Use Library OR Custom, not both",IF(AND($D29&lt;&gt;"",$E29=""),"⚠ Pick a muscle group for the custom exercise",IF(OR($H29="",$I29=""),"⚠ Enter Sets and Goal Reps",IF(IF($F29="",1=0,COUNTIF($F$7:$F$56,$F29)&lt;2),"⚠ Superset "&amp;$F29&amp;" needs 2+ exercises",IF($C29&lt;&gt;"",IFERROR("✓ "&amp;INDEX('Exercise Library'!$C$2:$C$319,MATCH($C29,'Exercise Library'!$B$2:$B$319,0))&amp;IF(INDEX('Exercise Library'!$D$2:$D$319,MATCH($C29,'Exercise Library'!$B$2:$B$319,0))="Yes"," · demo video",""),"⚠ Not in the library — use Custom Exercise"),"✓ Custom ("&amp;$E29&amp;")"))))))),"⚠ Check this row")</f>
      </c>
    </row>
    <row r="30" spans="1:13" x14ac:dyDescent="0.25">
      <c r="A30" s="16">
        <v>24</v>
      </c>
      <c r="B30" s="5"/>
      <c r="C30" s="5"/>
      <c r="D30" s="5"/>
      <c r="E30" s="5"/>
      <c r="F30" s="17"/>
      <c r="G30" s="5"/>
      <c r="H30" s="17"/>
      <c r="I30" s="17"/>
      <c r="J30" s="17"/>
      <c r="K30" s="17"/>
      <c r="L30" s="5"/>
      <c r="M30" s="18">
        <f>IFERROR(IF(AND($B30="",$C30="",$D30=""),IF(COUNTA($E30:$L30)&gt;0,"⚠ Pick an exercise",""),IF($B30&lt;&gt;"",IF(COUNTA($C30:$K30)&gt;0,"⚠ Put the section header on its own row","§ Section header"),IF(AND($C30&lt;&gt;"",$D30&lt;&gt;""),"⚠ Use Library OR Custom, not both",IF(AND($D30&lt;&gt;"",$E30=""),"⚠ Pick a muscle group for the custom exercise",IF(OR($H30="",$I30=""),"⚠ Enter Sets and Goal Reps",IF(IF($F30="",1=0,COUNTIF($F$7:$F$56,$F30)&lt;2),"⚠ Superset "&amp;$F30&amp;" needs 2+ exercises",IF($C30&lt;&gt;"",IFERROR("✓ "&amp;INDEX('Exercise Library'!$C$2:$C$319,MATCH($C30,'Exercise Library'!$B$2:$B$319,0))&amp;IF(INDEX('Exercise Library'!$D$2:$D$319,MATCH($C30,'Exercise Library'!$B$2:$B$319,0))="Yes"," · demo video",""),"⚠ Not in the library — use Custom Exercise"),"✓ Custom ("&amp;$E30&amp;")"))))))),"⚠ Check this row")</f>
      </c>
    </row>
    <row r="31" spans="1:13" x14ac:dyDescent="0.25">
      <c r="A31" s="16">
        <v>25</v>
      </c>
      <c r="B31" s="5"/>
      <c r="C31" s="5"/>
      <c r="D31" s="5"/>
      <c r="E31" s="5"/>
      <c r="F31" s="17"/>
      <c r="G31" s="5"/>
      <c r="H31" s="17"/>
      <c r="I31" s="17"/>
      <c r="J31" s="17"/>
      <c r="K31" s="17"/>
      <c r="L31" s="5"/>
      <c r="M31" s="18">
        <f>IFERROR(IF(AND($B31="",$C31="",$D31=""),IF(COUNTA($E31:$L31)&gt;0,"⚠ Pick an exercise",""),IF($B31&lt;&gt;"",IF(COUNTA($C31:$K31)&gt;0,"⚠ Put the section header on its own row","§ Section header"),IF(AND($C31&lt;&gt;"",$D31&lt;&gt;""),"⚠ Use Library OR Custom, not both",IF(AND($D31&lt;&gt;"",$E31=""),"⚠ Pick a muscle group for the custom exercise",IF(OR($H31="",$I31=""),"⚠ Enter Sets and Goal Reps",IF(IF($F31="",1=0,COUNTIF($F$7:$F$56,$F31)&lt;2),"⚠ Superset "&amp;$F31&amp;" needs 2+ exercises",IF($C31&lt;&gt;"",IFERROR("✓ "&amp;INDEX('Exercise Library'!$C$2:$C$319,MATCH($C31,'Exercise Library'!$B$2:$B$319,0))&amp;IF(INDEX('Exercise Library'!$D$2:$D$319,MATCH($C31,'Exercise Library'!$B$2:$B$319,0))="Yes"," · demo video",""),"⚠ Not in the library — use Custom Exercise"),"✓ Custom ("&amp;$E31&amp;")"))))))),"⚠ Check this row")</f>
      </c>
    </row>
    <row r="32" spans="1:13" x14ac:dyDescent="0.25">
      <c r="A32" s="16">
        <v>26</v>
      </c>
      <c r="B32" s="5"/>
      <c r="C32" s="5"/>
      <c r="D32" s="5"/>
      <c r="E32" s="5"/>
      <c r="F32" s="17"/>
      <c r="G32" s="5"/>
      <c r="H32" s="17"/>
      <c r="I32" s="17"/>
      <c r="J32" s="17"/>
      <c r="K32" s="17"/>
      <c r="L32" s="5"/>
      <c r="M32" s="18">
        <f>IFERROR(IF(AND($B32="",$C32="",$D32=""),IF(COUNTA($E32:$L32)&gt;0,"⚠ Pick an exercise",""),IF($B32&lt;&gt;"",IF(COUNTA($C32:$K32)&gt;0,"⚠ Put the section header on its own row","§ Section header"),IF(AND($C32&lt;&gt;"",$D32&lt;&gt;""),"⚠ Use Library OR Custom, not both",IF(AND($D32&lt;&gt;"",$E32=""),"⚠ Pick a muscle group for the custom exercise",IF(OR($H32="",$I32=""),"⚠ Enter Sets and Goal Reps",IF(IF($F32="",1=0,COUNTIF($F$7:$F$56,$F32)&lt;2),"⚠ Superset "&amp;$F32&amp;" needs 2+ exercises",IF($C32&lt;&gt;"",IFERROR("✓ "&amp;INDEX('Exercise Library'!$C$2:$C$319,MATCH($C32,'Exercise Library'!$B$2:$B$319,0))&amp;IF(INDEX('Exercise Library'!$D$2:$D$319,MATCH($C32,'Exercise Library'!$B$2:$B$319,0))="Yes"," · demo video",""),"⚠ Not in the library — use Custom Exercise"),"✓ Custom ("&amp;$E32&amp;")"))))))),"⚠ Check this row")</f>
      </c>
    </row>
    <row r="33" spans="1:13" x14ac:dyDescent="0.25">
      <c r="A33" s="16">
        <v>27</v>
      </c>
      <c r="B33" s="5"/>
      <c r="C33" s="5"/>
      <c r="D33" s="5"/>
      <c r="E33" s="5"/>
      <c r="F33" s="17"/>
      <c r="G33" s="5"/>
      <c r="H33" s="17"/>
      <c r="I33" s="17"/>
      <c r="J33" s="17"/>
      <c r="K33" s="17"/>
      <c r="L33" s="5"/>
      <c r="M33" s="18">
        <f>IFERROR(IF(AND($B33="",$C33="",$D33=""),IF(COUNTA($E33:$L33)&gt;0,"⚠ Pick an exercise",""),IF($B33&lt;&gt;"",IF(COUNTA($C33:$K33)&gt;0,"⚠ Put the section header on its own row","§ Section header"),IF(AND($C33&lt;&gt;"",$D33&lt;&gt;""),"⚠ Use Library OR Custom, not both",IF(AND($D33&lt;&gt;"",$E33=""),"⚠ Pick a muscle group for the custom exercise",IF(OR($H33="",$I33=""),"⚠ Enter Sets and Goal Reps",IF(IF($F33="",1=0,COUNTIF($F$7:$F$56,$F33)&lt;2),"⚠ Superset "&amp;$F33&amp;" needs 2+ exercises",IF($C33&lt;&gt;"",IFERROR("✓ "&amp;INDEX('Exercise Library'!$C$2:$C$319,MATCH($C33,'Exercise Library'!$B$2:$B$319,0))&amp;IF(INDEX('Exercise Library'!$D$2:$D$319,MATCH($C33,'Exercise Library'!$B$2:$B$319,0))="Yes"," · demo video",""),"⚠ Not in the library — use Custom Exercise"),"✓ Custom ("&amp;$E33&amp;")"))))))),"⚠ Check this row")</f>
      </c>
    </row>
    <row r="34" spans="1:13" x14ac:dyDescent="0.25">
      <c r="A34" s="16">
        <v>28</v>
      </c>
      <c r="B34" s="5"/>
      <c r="C34" s="5"/>
      <c r="D34" s="5"/>
      <c r="E34" s="5"/>
      <c r="F34" s="17"/>
      <c r="G34" s="5"/>
      <c r="H34" s="17"/>
      <c r="I34" s="17"/>
      <c r="J34" s="17"/>
      <c r="K34" s="17"/>
      <c r="L34" s="5"/>
      <c r="M34" s="18">
        <f>IFERROR(IF(AND($B34="",$C34="",$D34=""),IF(COUNTA($E34:$L34)&gt;0,"⚠ Pick an exercise",""),IF($B34&lt;&gt;"",IF(COUNTA($C34:$K34)&gt;0,"⚠ Put the section header on its own row","§ Section header"),IF(AND($C34&lt;&gt;"",$D34&lt;&gt;""),"⚠ Use Library OR Custom, not both",IF(AND($D34&lt;&gt;"",$E34=""),"⚠ Pick a muscle group for the custom exercise",IF(OR($H34="",$I34=""),"⚠ Enter Sets and Goal Reps",IF(IF($F34="",1=0,COUNTIF($F$7:$F$56,$F34)&lt;2),"⚠ Superset "&amp;$F34&amp;" needs 2+ exercises",IF($C34&lt;&gt;"",IFERROR("✓ "&amp;INDEX('Exercise Library'!$C$2:$C$319,MATCH($C34,'Exercise Library'!$B$2:$B$319,0))&amp;IF(INDEX('Exercise Library'!$D$2:$D$319,MATCH($C34,'Exercise Library'!$B$2:$B$319,0))="Yes"," · demo video",""),"⚠ Not in the library — use Custom Exercise"),"✓ Custom ("&amp;$E34&amp;")"))))))),"⚠ Check this row")</f>
      </c>
    </row>
    <row r="35" spans="1:13" x14ac:dyDescent="0.25">
      <c r="A35" s="16">
        <v>29</v>
      </c>
      <c r="B35" s="5"/>
      <c r="C35" s="5"/>
      <c r="D35" s="5"/>
      <c r="E35" s="5"/>
      <c r="F35" s="17"/>
      <c r="G35" s="5"/>
      <c r="H35" s="17"/>
      <c r="I35" s="17"/>
      <c r="J35" s="17"/>
      <c r="K35" s="17"/>
      <c r="L35" s="5"/>
      <c r="M35" s="18">
        <f>IFERROR(IF(AND($B35="",$C35="",$D35=""),IF(COUNTA($E35:$L35)&gt;0,"⚠ Pick an exercise",""),IF($B35&lt;&gt;"",IF(COUNTA($C35:$K35)&gt;0,"⚠ Put the section header on its own row","§ Section header"),IF(AND($C35&lt;&gt;"",$D35&lt;&gt;""),"⚠ Use Library OR Custom, not both",IF(AND($D35&lt;&gt;"",$E35=""),"⚠ Pick a muscle group for the custom exercise",IF(OR($H35="",$I35=""),"⚠ Enter Sets and Goal Reps",IF(IF($F35="",1=0,COUNTIF($F$7:$F$56,$F35)&lt;2),"⚠ Superset "&amp;$F35&amp;" needs 2+ exercises",IF($C35&lt;&gt;"",IFERROR("✓ "&amp;INDEX('Exercise Library'!$C$2:$C$319,MATCH($C35,'Exercise Library'!$B$2:$B$319,0))&amp;IF(INDEX('Exercise Library'!$D$2:$D$319,MATCH($C35,'Exercise Library'!$B$2:$B$319,0))="Yes"," · demo video",""),"⚠ Not in the library — use Custom Exercise"),"✓ Custom ("&amp;$E35&amp;")"))))))),"⚠ Check this row")</f>
      </c>
    </row>
    <row r="36" spans="1:13" x14ac:dyDescent="0.25">
      <c r="A36" s="16">
        <v>30</v>
      </c>
      <c r="B36" s="5"/>
      <c r="C36" s="5"/>
      <c r="D36" s="5"/>
      <c r="E36" s="5"/>
      <c r="F36" s="17"/>
      <c r="G36" s="5"/>
      <c r="H36" s="17"/>
      <c r="I36" s="17"/>
      <c r="J36" s="17"/>
      <c r="K36" s="17"/>
      <c r="L36" s="5"/>
      <c r="M36" s="18">
        <f>IFERROR(IF(AND($B36="",$C36="",$D36=""),IF(COUNTA($E36:$L36)&gt;0,"⚠ Pick an exercise",""),IF($B36&lt;&gt;"",IF(COUNTA($C36:$K36)&gt;0,"⚠ Put the section header on its own row","§ Section header"),IF(AND($C36&lt;&gt;"",$D36&lt;&gt;""),"⚠ Use Library OR Custom, not both",IF(AND($D36&lt;&gt;"",$E36=""),"⚠ Pick a muscle group for the custom exercise",IF(OR($H36="",$I36=""),"⚠ Enter Sets and Goal Reps",IF(IF($F36="",1=0,COUNTIF($F$7:$F$56,$F36)&lt;2),"⚠ Superset "&amp;$F36&amp;" needs 2+ exercises",IF($C36&lt;&gt;"",IFERROR("✓ "&amp;INDEX('Exercise Library'!$C$2:$C$319,MATCH($C36,'Exercise Library'!$B$2:$B$319,0))&amp;IF(INDEX('Exercise Library'!$D$2:$D$319,MATCH($C36,'Exercise Library'!$B$2:$B$319,0))="Yes"," · demo video",""),"⚠ Not in the library — use Custom Exercise"),"✓ Custom ("&amp;$E36&amp;")"))))))),"⚠ Check this row")</f>
      </c>
    </row>
    <row r="37" spans="1:13" x14ac:dyDescent="0.25">
      <c r="A37" s="16">
        <v>31</v>
      </c>
      <c r="B37" s="5"/>
      <c r="C37" s="5"/>
      <c r="D37" s="5"/>
      <c r="E37" s="5"/>
      <c r="F37" s="17"/>
      <c r="G37" s="5"/>
      <c r="H37" s="17"/>
      <c r="I37" s="17"/>
      <c r="J37" s="17"/>
      <c r="K37" s="17"/>
      <c r="L37" s="5"/>
      <c r="M37" s="18">
        <f>IFERROR(IF(AND($B37="",$C37="",$D37=""),IF(COUNTA($E37:$L37)&gt;0,"⚠ Pick an exercise",""),IF($B37&lt;&gt;"",IF(COUNTA($C37:$K37)&gt;0,"⚠ Put the section header on its own row","§ Section header"),IF(AND($C37&lt;&gt;"",$D37&lt;&gt;""),"⚠ Use Library OR Custom, not both",IF(AND($D37&lt;&gt;"",$E37=""),"⚠ Pick a muscle group for the custom exercise",IF(OR($H37="",$I37=""),"⚠ Enter Sets and Goal Reps",IF(IF($F37="",1=0,COUNTIF($F$7:$F$56,$F37)&lt;2),"⚠ Superset "&amp;$F37&amp;" needs 2+ exercises",IF($C37&lt;&gt;"",IFERROR("✓ "&amp;INDEX('Exercise Library'!$C$2:$C$319,MATCH($C37,'Exercise Library'!$B$2:$B$319,0))&amp;IF(INDEX('Exercise Library'!$D$2:$D$319,MATCH($C37,'Exercise Library'!$B$2:$B$319,0))="Yes"," · demo video",""),"⚠ Not in the library — use Custom Exercise"),"✓ Custom ("&amp;$E37&amp;")"))))))),"⚠ Check this row")</f>
      </c>
    </row>
    <row r="38" spans="1:13" x14ac:dyDescent="0.25">
      <c r="A38" s="16">
        <v>32</v>
      </c>
      <c r="B38" s="5"/>
      <c r="C38" s="5"/>
      <c r="D38" s="5"/>
      <c r="E38" s="5"/>
      <c r="F38" s="17"/>
      <c r="G38" s="5"/>
      <c r="H38" s="17"/>
      <c r="I38" s="17"/>
      <c r="J38" s="17"/>
      <c r="K38" s="17"/>
      <c r="L38" s="5"/>
      <c r="M38" s="18">
        <f>IFERROR(IF(AND($B38="",$C38="",$D38=""),IF(COUNTA($E38:$L38)&gt;0,"⚠ Pick an exercise",""),IF($B38&lt;&gt;"",IF(COUNTA($C38:$K38)&gt;0,"⚠ Put the section header on its own row","§ Section header"),IF(AND($C38&lt;&gt;"",$D38&lt;&gt;""),"⚠ Use Library OR Custom, not both",IF(AND($D38&lt;&gt;"",$E38=""),"⚠ Pick a muscle group for the custom exercise",IF(OR($H38="",$I38=""),"⚠ Enter Sets and Goal Reps",IF(IF($F38="",1=0,COUNTIF($F$7:$F$56,$F38)&lt;2),"⚠ Superset "&amp;$F38&amp;" needs 2+ exercises",IF($C38&lt;&gt;"",IFERROR("✓ "&amp;INDEX('Exercise Library'!$C$2:$C$319,MATCH($C38,'Exercise Library'!$B$2:$B$319,0))&amp;IF(INDEX('Exercise Library'!$D$2:$D$319,MATCH($C38,'Exercise Library'!$B$2:$B$319,0))="Yes"," · demo video",""),"⚠ Not in the library — use Custom Exercise"),"✓ Custom ("&amp;$E38&amp;")"))))))),"⚠ Check this row")</f>
      </c>
    </row>
    <row r="39" spans="1:13" x14ac:dyDescent="0.25">
      <c r="A39" s="16">
        <v>33</v>
      </c>
      <c r="B39" s="5"/>
      <c r="C39" s="5"/>
      <c r="D39" s="5"/>
      <c r="E39" s="5"/>
      <c r="F39" s="17"/>
      <c r="G39" s="5"/>
      <c r="H39" s="17"/>
      <c r="I39" s="17"/>
      <c r="J39" s="17"/>
      <c r="K39" s="17"/>
      <c r="L39" s="5"/>
      <c r="M39" s="18">
        <f>IFERROR(IF(AND($B39="",$C39="",$D39=""),IF(COUNTA($E39:$L39)&gt;0,"⚠ Pick an exercise",""),IF($B39&lt;&gt;"",IF(COUNTA($C39:$K39)&gt;0,"⚠ Put the section header on its own row","§ Section header"),IF(AND($C39&lt;&gt;"",$D39&lt;&gt;""),"⚠ Use Library OR Custom, not both",IF(AND($D39&lt;&gt;"",$E39=""),"⚠ Pick a muscle group for the custom exercise",IF(OR($H39="",$I39=""),"⚠ Enter Sets and Goal Reps",IF(IF($F39="",1=0,COUNTIF($F$7:$F$56,$F39)&lt;2),"⚠ Superset "&amp;$F39&amp;" needs 2+ exercises",IF($C39&lt;&gt;"",IFERROR("✓ "&amp;INDEX('Exercise Library'!$C$2:$C$319,MATCH($C39,'Exercise Library'!$B$2:$B$319,0))&amp;IF(INDEX('Exercise Library'!$D$2:$D$319,MATCH($C39,'Exercise Library'!$B$2:$B$319,0))="Yes"," · demo video",""),"⚠ Not in the library — use Custom Exercise"),"✓ Custom ("&amp;$E39&amp;")"))))))),"⚠ Check this row")</f>
      </c>
    </row>
    <row r="40" spans="1:13" x14ac:dyDescent="0.25">
      <c r="A40" s="16">
        <v>34</v>
      </c>
      <c r="B40" s="5"/>
      <c r="C40" s="5"/>
      <c r="D40" s="5"/>
      <c r="E40" s="5"/>
      <c r="F40" s="17"/>
      <c r="G40" s="5"/>
      <c r="H40" s="17"/>
      <c r="I40" s="17"/>
      <c r="J40" s="17"/>
      <c r="K40" s="17"/>
      <c r="L40" s="5"/>
      <c r="M40" s="18">
        <f>IFERROR(IF(AND($B40="",$C40="",$D40=""),IF(COUNTA($E40:$L40)&gt;0,"⚠ Pick an exercise",""),IF($B40&lt;&gt;"",IF(COUNTA($C40:$K40)&gt;0,"⚠ Put the section header on its own row","§ Section header"),IF(AND($C40&lt;&gt;"",$D40&lt;&gt;""),"⚠ Use Library OR Custom, not both",IF(AND($D40&lt;&gt;"",$E40=""),"⚠ Pick a muscle group for the custom exercise",IF(OR($H40="",$I40=""),"⚠ Enter Sets and Goal Reps",IF(IF($F40="",1=0,COUNTIF($F$7:$F$56,$F40)&lt;2),"⚠ Superset "&amp;$F40&amp;" needs 2+ exercises",IF($C40&lt;&gt;"",IFERROR("✓ "&amp;INDEX('Exercise Library'!$C$2:$C$319,MATCH($C40,'Exercise Library'!$B$2:$B$319,0))&amp;IF(INDEX('Exercise Library'!$D$2:$D$319,MATCH($C40,'Exercise Library'!$B$2:$B$319,0))="Yes"," · demo video",""),"⚠ Not in the library — use Custom Exercise"),"✓ Custom ("&amp;$E40&amp;")"))))))),"⚠ Check this row")</f>
      </c>
    </row>
    <row r="41" spans="1:13" x14ac:dyDescent="0.25">
      <c r="A41" s="16">
        <v>35</v>
      </c>
      <c r="B41" s="5"/>
      <c r="C41" s="5"/>
      <c r="D41" s="5"/>
      <c r="E41" s="5"/>
      <c r="F41" s="17"/>
      <c r="G41" s="5"/>
      <c r="H41" s="17"/>
      <c r="I41" s="17"/>
      <c r="J41" s="17"/>
      <c r="K41" s="17"/>
      <c r="L41" s="5"/>
      <c r="M41" s="18">
        <f>IFERROR(IF(AND($B41="",$C41="",$D41=""),IF(COUNTA($E41:$L41)&gt;0,"⚠ Pick an exercise",""),IF($B41&lt;&gt;"",IF(COUNTA($C41:$K41)&gt;0,"⚠ Put the section header on its own row","§ Section header"),IF(AND($C41&lt;&gt;"",$D41&lt;&gt;""),"⚠ Use Library OR Custom, not both",IF(AND($D41&lt;&gt;"",$E41=""),"⚠ Pick a muscle group for the custom exercise",IF(OR($H41="",$I41=""),"⚠ Enter Sets and Goal Reps",IF(IF($F41="",1=0,COUNTIF($F$7:$F$56,$F41)&lt;2),"⚠ Superset "&amp;$F41&amp;" needs 2+ exercises",IF($C41&lt;&gt;"",IFERROR("✓ "&amp;INDEX('Exercise Library'!$C$2:$C$319,MATCH($C41,'Exercise Library'!$B$2:$B$319,0))&amp;IF(INDEX('Exercise Library'!$D$2:$D$319,MATCH($C41,'Exercise Library'!$B$2:$B$319,0))="Yes"," · demo video",""),"⚠ Not in the library — use Custom Exercise"),"✓ Custom ("&amp;$E41&amp;")"))))))),"⚠ Check this row")</f>
      </c>
    </row>
    <row r="42" spans="1:13" x14ac:dyDescent="0.25">
      <c r="A42" s="16">
        <v>36</v>
      </c>
      <c r="B42" s="5"/>
      <c r="C42" s="5"/>
      <c r="D42" s="5"/>
      <c r="E42" s="5"/>
      <c r="F42" s="17"/>
      <c r="G42" s="5"/>
      <c r="H42" s="17"/>
      <c r="I42" s="17"/>
      <c r="J42" s="17"/>
      <c r="K42" s="17"/>
      <c r="L42" s="5"/>
      <c r="M42" s="18">
        <f>IFERROR(IF(AND($B42="",$C42="",$D42=""),IF(COUNTA($E42:$L42)&gt;0,"⚠ Pick an exercise",""),IF($B42&lt;&gt;"",IF(COUNTA($C42:$K42)&gt;0,"⚠ Put the section header on its own row","§ Section header"),IF(AND($C42&lt;&gt;"",$D42&lt;&gt;""),"⚠ Use Library OR Custom, not both",IF(AND($D42&lt;&gt;"",$E42=""),"⚠ Pick a muscle group for the custom exercise",IF(OR($H42="",$I42=""),"⚠ Enter Sets and Goal Reps",IF(IF($F42="",1=0,COUNTIF($F$7:$F$56,$F42)&lt;2),"⚠ Superset "&amp;$F42&amp;" needs 2+ exercises",IF($C42&lt;&gt;"",IFERROR("✓ "&amp;INDEX('Exercise Library'!$C$2:$C$319,MATCH($C42,'Exercise Library'!$B$2:$B$319,0))&amp;IF(INDEX('Exercise Library'!$D$2:$D$319,MATCH($C42,'Exercise Library'!$B$2:$B$319,0))="Yes"," · demo video",""),"⚠ Not in the library — use Custom Exercise"),"✓ Custom ("&amp;$E42&amp;")"))))))),"⚠ Check this row")</f>
      </c>
    </row>
    <row r="43" spans="1:13" x14ac:dyDescent="0.25">
      <c r="A43" s="16">
        <v>37</v>
      </c>
      <c r="B43" s="5"/>
      <c r="C43" s="5"/>
      <c r="D43" s="5"/>
      <c r="E43" s="5"/>
      <c r="F43" s="17"/>
      <c r="G43" s="5"/>
      <c r="H43" s="17"/>
      <c r="I43" s="17"/>
      <c r="J43" s="17"/>
      <c r="K43" s="17"/>
      <c r="L43" s="5"/>
      <c r="M43" s="18">
        <f>IFERROR(IF(AND($B43="",$C43="",$D43=""),IF(COUNTA($E43:$L43)&gt;0,"⚠ Pick an exercise",""),IF($B43&lt;&gt;"",IF(COUNTA($C43:$K43)&gt;0,"⚠ Put the section header on its own row","§ Section header"),IF(AND($C43&lt;&gt;"",$D43&lt;&gt;""),"⚠ Use Library OR Custom, not both",IF(AND($D43&lt;&gt;"",$E43=""),"⚠ Pick a muscle group for the custom exercise",IF(OR($H43="",$I43=""),"⚠ Enter Sets and Goal Reps",IF(IF($F43="",1=0,COUNTIF($F$7:$F$56,$F43)&lt;2),"⚠ Superset "&amp;$F43&amp;" needs 2+ exercises",IF($C43&lt;&gt;"",IFERROR("✓ "&amp;INDEX('Exercise Library'!$C$2:$C$319,MATCH($C43,'Exercise Library'!$B$2:$B$319,0))&amp;IF(INDEX('Exercise Library'!$D$2:$D$319,MATCH($C43,'Exercise Library'!$B$2:$B$319,0))="Yes"," · demo video",""),"⚠ Not in the library — use Custom Exercise"),"✓ Custom ("&amp;$E43&amp;")"))))))),"⚠ Check this row")</f>
      </c>
    </row>
    <row r="44" spans="1:13" x14ac:dyDescent="0.25">
      <c r="A44" s="16">
        <v>38</v>
      </c>
      <c r="B44" s="5"/>
      <c r="C44" s="5"/>
      <c r="D44" s="5"/>
      <c r="E44" s="5"/>
      <c r="F44" s="17"/>
      <c r="G44" s="5"/>
      <c r="H44" s="17"/>
      <c r="I44" s="17"/>
      <c r="J44" s="17"/>
      <c r="K44" s="17"/>
      <c r="L44" s="5"/>
      <c r="M44" s="18">
        <f>IFERROR(IF(AND($B44="",$C44="",$D44=""),IF(COUNTA($E44:$L44)&gt;0,"⚠ Pick an exercise",""),IF($B44&lt;&gt;"",IF(COUNTA($C44:$K44)&gt;0,"⚠ Put the section header on its own row","§ Section header"),IF(AND($C44&lt;&gt;"",$D44&lt;&gt;""),"⚠ Use Library OR Custom, not both",IF(AND($D44&lt;&gt;"",$E44=""),"⚠ Pick a muscle group for the custom exercise",IF(OR($H44="",$I44=""),"⚠ Enter Sets and Goal Reps",IF(IF($F44="",1=0,COUNTIF($F$7:$F$56,$F44)&lt;2),"⚠ Superset "&amp;$F44&amp;" needs 2+ exercises",IF($C44&lt;&gt;"",IFERROR("✓ "&amp;INDEX('Exercise Library'!$C$2:$C$319,MATCH($C44,'Exercise Library'!$B$2:$B$319,0))&amp;IF(INDEX('Exercise Library'!$D$2:$D$319,MATCH($C44,'Exercise Library'!$B$2:$B$319,0))="Yes"," · demo video",""),"⚠ Not in the library — use Custom Exercise"),"✓ Custom ("&amp;$E44&amp;")"))))))),"⚠ Check this row")</f>
      </c>
    </row>
    <row r="45" spans="1:13" x14ac:dyDescent="0.25">
      <c r="A45" s="16">
        <v>39</v>
      </c>
      <c r="B45" s="5"/>
      <c r="C45" s="5"/>
      <c r="D45" s="5"/>
      <c r="E45" s="5"/>
      <c r="F45" s="17"/>
      <c r="G45" s="5"/>
      <c r="H45" s="17"/>
      <c r="I45" s="17"/>
      <c r="J45" s="17"/>
      <c r="K45" s="17"/>
      <c r="L45" s="5"/>
      <c r="M45" s="18">
        <f>IFERROR(IF(AND($B45="",$C45="",$D45=""),IF(COUNTA($E45:$L45)&gt;0,"⚠ Pick an exercise",""),IF($B45&lt;&gt;"",IF(COUNTA($C45:$K45)&gt;0,"⚠ Put the section header on its own row","§ Section header"),IF(AND($C45&lt;&gt;"",$D45&lt;&gt;""),"⚠ Use Library OR Custom, not both",IF(AND($D45&lt;&gt;"",$E45=""),"⚠ Pick a muscle group for the custom exercise",IF(OR($H45="",$I45=""),"⚠ Enter Sets and Goal Reps",IF(IF($F45="",1=0,COUNTIF($F$7:$F$56,$F45)&lt;2),"⚠ Superset "&amp;$F45&amp;" needs 2+ exercises",IF($C45&lt;&gt;"",IFERROR("✓ "&amp;INDEX('Exercise Library'!$C$2:$C$319,MATCH($C45,'Exercise Library'!$B$2:$B$319,0))&amp;IF(INDEX('Exercise Library'!$D$2:$D$319,MATCH($C45,'Exercise Library'!$B$2:$B$319,0))="Yes"," · demo video",""),"⚠ Not in the library — use Custom Exercise"),"✓ Custom ("&amp;$E45&amp;")"))))))),"⚠ Check this row")</f>
      </c>
    </row>
    <row r="46" spans="1:13" x14ac:dyDescent="0.25">
      <c r="A46" s="16">
        <v>40</v>
      </c>
      <c r="B46" s="5"/>
      <c r="C46" s="5"/>
      <c r="D46" s="5"/>
      <c r="E46" s="5"/>
      <c r="F46" s="17"/>
      <c r="G46" s="5"/>
      <c r="H46" s="17"/>
      <c r="I46" s="17"/>
      <c r="J46" s="17"/>
      <c r="K46" s="17"/>
      <c r="L46" s="5"/>
      <c r="M46" s="18">
        <f>IFERROR(IF(AND($B46="",$C46="",$D46=""),IF(COUNTA($E46:$L46)&gt;0,"⚠ Pick an exercise",""),IF($B46&lt;&gt;"",IF(COUNTA($C46:$K46)&gt;0,"⚠ Put the section header on its own row","§ Section header"),IF(AND($C46&lt;&gt;"",$D46&lt;&gt;""),"⚠ Use Library OR Custom, not both",IF(AND($D46&lt;&gt;"",$E46=""),"⚠ Pick a muscle group for the custom exercise",IF(OR($H46="",$I46=""),"⚠ Enter Sets and Goal Reps",IF(IF($F46="",1=0,COUNTIF($F$7:$F$56,$F46)&lt;2),"⚠ Superset "&amp;$F46&amp;" needs 2+ exercises",IF($C46&lt;&gt;"",IFERROR("✓ "&amp;INDEX('Exercise Library'!$C$2:$C$319,MATCH($C46,'Exercise Library'!$B$2:$B$319,0))&amp;IF(INDEX('Exercise Library'!$D$2:$D$319,MATCH($C46,'Exercise Library'!$B$2:$B$319,0))="Yes"," · demo video",""),"⚠ Not in the library — use Custom Exercise"),"✓ Custom ("&amp;$E46&amp;")"))))))),"⚠ Check this row")</f>
      </c>
    </row>
    <row r="47" spans="1:13" x14ac:dyDescent="0.25">
      <c r="A47" s="16">
        <v>41</v>
      </c>
      <c r="B47" s="5"/>
      <c r="C47" s="5"/>
      <c r="D47" s="5"/>
      <c r="E47" s="5"/>
      <c r="F47" s="17"/>
      <c r="G47" s="5"/>
      <c r="H47" s="17"/>
      <c r="I47" s="17"/>
      <c r="J47" s="17"/>
      <c r="K47" s="17"/>
      <c r="L47" s="5"/>
      <c r="M47" s="18">
        <f>IFERROR(IF(AND($B47="",$C47="",$D47=""),IF(COUNTA($E47:$L47)&gt;0,"⚠ Pick an exercise",""),IF($B47&lt;&gt;"",IF(COUNTA($C47:$K47)&gt;0,"⚠ Put the section header on its own row","§ Section header"),IF(AND($C47&lt;&gt;"",$D47&lt;&gt;""),"⚠ Use Library OR Custom, not both",IF(AND($D47&lt;&gt;"",$E47=""),"⚠ Pick a muscle group for the custom exercise",IF(OR($H47="",$I47=""),"⚠ Enter Sets and Goal Reps",IF(IF($F47="",1=0,COUNTIF($F$7:$F$56,$F47)&lt;2),"⚠ Superset "&amp;$F47&amp;" needs 2+ exercises",IF($C47&lt;&gt;"",IFERROR("✓ "&amp;INDEX('Exercise Library'!$C$2:$C$319,MATCH($C47,'Exercise Library'!$B$2:$B$319,0))&amp;IF(INDEX('Exercise Library'!$D$2:$D$319,MATCH($C47,'Exercise Library'!$B$2:$B$319,0))="Yes"," · demo video",""),"⚠ Not in the library — use Custom Exercise"),"✓ Custom ("&amp;$E47&amp;")"))))))),"⚠ Check this row")</f>
      </c>
    </row>
    <row r="48" spans="1:13" x14ac:dyDescent="0.25">
      <c r="A48" s="16">
        <v>42</v>
      </c>
      <c r="B48" s="5"/>
      <c r="C48" s="5"/>
      <c r="D48" s="5"/>
      <c r="E48" s="5"/>
      <c r="F48" s="17"/>
      <c r="G48" s="5"/>
      <c r="H48" s="17"/>
      <c r="I48" s="17"/>
      <c r="J48" s="17"/>
      <c r="K48" s="17"/>
      <c r="L48" s="5"/>
      <c r="M48" s="18">
        <f>IFERROR(IF(AND($B48="",$C48="",$D48=""),IF(COUNTA($E48:$L48)&gt;0,"⚠ Pick an exercise",""),IF($B48&lt;&gt;"",IF(COUNTA($C48:$K48)&gt;0,"⚠ Put the section header on its own row","§ Section header"),IF(AND($C48&lt;&gt;"",$D48&lt;&gt;""),"⚠ Use Library OR Custom, not both",IF(AND($D48&lt;&gt;"",$E48=""),"⚠ Pick a muscle group for the custom exercise",IF(OR($H48="",$I48=""),"⚠ Enter Sets and Goal Reps",IF(IF($F48="",1=0,COUNTIF($F$7:$F$56,$F48)&lt;2),"⚠ Superset "&amp;$F48&amp;" needs 2+ exercises",IF($C48&lt;&gt;"",IFERROR("✓ "&amp;INDEX('Exercise Library'!$C$2:$C$319,MATCH($C48,'Exercise Library'!$B$2:$B$319,0))&amp;IF(INDEX('Exercise Library'!$D$2:$D$319,MATCH($C48,'Exercise Library'!$B$2:$B$319,0))="Yes"," · demo video",""),"⚠ Not in the library — use Custom Exercise"),"✓ Custom ("&amp;$E48&amp;")"))))))),"⚠ Check this row")</f>
      </c>
    </row>
    <row r="49" spans="1:13" x14ac:dyDescent="0.25">
      <c r="A49" s="16">
        <v>43</v>
      </c>
      <c r="B49" s="5"/>
      <c r="C49" s="5"/>
      <c r="D49" s="5"/>
      <c r="E49" s="5"/>
      <c r="F49" s="17"/>
      <c r="G49" s="5"/>
      <c r="H49" s="17"/>
      <c r="I49" s="17"/>
      <c r="J49" s="17"/>
      <c r="K49" s="17"/>
      <c r="L49" s="5"/>
      <c r="M49" s="18">
        <f>IFERROR(IF(AND($B49="",$C49="",$D49=""),IF(COUNTA($E49:$L49)&gt;0,"⚠ Pick an exercise",""),IF($B49&lt;&gt;"",IF(COUNTA($C49:$K49)&gt;0,"⚠ Put the section header on its own row","§ Section header"),IF(AND($C49&lt;&gt;"",$D49&lt;&gt;""),"⚠ Use Library OR Custom, not both",IF(AND($D49&lt;&gt;"",$E49=""),"⚠ Pick a muscle group for the custom exercise",IF(OR($H49="",$I49=""),"⚠ Enter Sets and Goal Reps",IF(IF($F49="",1=0,COUNTIF($F$7:$F$56,$F49)&lt;2),"⚠ Superset "&amp;$F49&amp;" needs 2+ exercises",IF($C49&lt;&gt;"",IFERROR("✓ "&amp;INDEX('Exercise Library'!$C$2:$C$319,MATCH($C49,'Exercise Library'!$B$2:$B$319,0))&amp;IF(INDEX('Exercise Library'!$D$2:$D$319,MATCH($C49,'Exercise Library'!$B$2:$B$319,0))="Yes"," · demo video",""),"⚠ Not in the library — use Custom Exercise"),"✓ Custom ("&amp;$E49&amp;")"))))))),"⚠ Check this row")</f>
      </c>
    </row>
    <row r="50" spans="1:13" x14ac:dyDescent="0.25">
      <c r="A50" s="16">
        <v>44</v>
      </c>
      <c r="B50" s="5"/>
      <c r="C50" s="5"/>
      <c r="D50" s="5"/>
      <c r="E50" s="5"/>
      <c r="F50" s="17"/>
      <c r="G50" s="5"/>
      <c r="H50" s="17"/>
      <c r="I50" s="17"/>
      <c r="J50" s="17"/>
      <c r="K50" s="17"/>
      <c r="L50" s="5"/>
      <c r="M50" s="18">
        <f>IFERROR(IF(AND($B50="",$C50="",$D50=""),IF(COUNTA($E50:$L50)&gt;0,"⚠ Pick an exercise",""),IF($B50&lt;&gt;"",IF(COUNTA($C50:$K50)&gt;0,"⚠ Put the section header on its own row","§ Section header"),IF(AND($C50&lt;&gt;"",$D50&lt;&gt;""),"⚠ Use Library OR Custom, not both",IF(AND($D50&lt;&gt;"",$E50=""),"⚠ Pick a muscle group for the custom exercise",IF(OR($H50="",$I50=""),"⚠ Enter Sets and Goal Reps",IF(IF($F50="",1=0,COUNTIF($F$7:$F$56,$F50)&lt;2),"⚠ Superset "&amp;$F50&amp;" needs 2+ exercises",IF($C50&lt;&gt;"",IFERROR("✓ "&amp;INDEX('Exercise Library'!$C$2:$C$319,MATCH($C50,'Exercise Library'!$B$2:$B$319,0))&amp;IF(INDEX('Exercise Library'!$D$2:$D$319,MATCH($C50,'Exercise Library'!$B$2:$B$319,0))="Yes"," · demo video",""),"⚠ Not in the library — use Custom Exercise"),"✓ Custom ("&amp;$E50&amp;")"))))))),"⚠ Check this row")</f>
      </c>
    </row>
    <row r="51" spans="1:13" x14ac:dyDescent="0.25">
      <c r="A51" s="16">
        <v>45</v>
      </c>
      <c r="B51" s="5"/>
      <c r="C51" s="5"/>
      <c r="D51" s="5"/>
      <c r="E51" s="5"/>
      <c r="F51" s="17"/>
      <c r="G51" s="5"/>
      <c r="H51" s="17"/>
      <c r="I51" s="17"/>
      <c r="J51" s="17"/>
      <c r="K51" s="17"/>
      <c r="L51" s="5"/>
      <c r="M51" s="18">
        <f>IFERROR(IF(AND($B51="",$C51="",$D51=""),IF(COUNTA($E51:$L51)&gt;0,"⚠ Pick an exercise",""),IF($B51&lt;&gt;"",IF(COUNTA($C51:$K51)&gt;0,"⚠ Put the section header on its own row","§ Section header"),IF(AND($C51&lt;&gt;"",$D51&lt;&gt;""),"⚠ Use Library OR Custom, not both",IF(AND($D51&lt;&gt;"",$E51=""),"⚠ Pick a muscle group for the custom exercise",IF(OR($H51="",$I51=""),"⚠ Enter Sets and Goal Reps",IF(IF($F51="",1=0,COUNTIF($F$7:$F$56,$F51)&lt;2),"⚠ Superset "&amp;$F51&amp;" needs 2+ exercises",IF($C51&lt;&gt;"",IFERROR("✓ "&amp;INDEX('Exercise Library'!$C$2:$C$319,MATCH($C51,'Exercise Library'!$B$2:$B$319,0))&amp;IF(INDEX('Exercise Library'!$D$2:$D$319,MATCH($C51,'Exercise Library'!$B$2:$B$319,0))="Yes"," · demo video",""),"⚠ Not in the library — use Custom Exercise"),"✓ Custom ("&amp;$E51&amp;")"))))))),"⚠ Check this row")</f>
      </c>
    </row>
    <row r="52" spans="1:13" x14ac:dyDescent="0.25">
      <c r="A52" s="16">
        <v>46</v>
      </c>
      <c r="B52" s="5"/>
      <c r="C52" s="5"/>
      <c r="D52" s="5"/>
      <c r="E52" s="5"/>
      <c r="F52" s="17"/>
      <c r="G52" s="5"/>
      <c r="H52" s="17"/>
      <c r="I52" s="17"/>
      <c r="J52" s="17"/>
      <c r="K52" s="17"/>
      <c r="L52" s="5"/>
      <c r="M52" s="18">
        <f>IFERROR(IF(AND($B52="",$C52="",$D52=""),IF(COUNTA($E52:$L52)&gt;0,"⚠ Pick an exercise",""),IF($B52&lt;&gt;"",IF(COUNTA($C52:$K52)&gt;0,"⚠ Put the section header on its own row","§ Section header"),IF(AND($C52&lt;&gt;"",$D52&lt;&gt;""),"⚠ Use Library OR Custom, not both",IF(AND($D52&lt;&gt;"",$E52=""),"⚠ Pick a muscle group for the custom exercise",IF(OR($H52="",$I52=""),"⚠ Enter Sets and Goal Reps",IF(IF($F52="",1=0,COUNTIF($F$7:$F$56,$F52)&lt;2),"⚠ Superset "&amp;$F52&amp;" needs 2+ exercises",IF($C52&lt;&gt;"",IFERROR("✓ "&amp;INDEX('Exercise Library'!$C$2:$C$319,MATCH($C52,'Exercise Library'!$B$2:$B$319,0))&amp;IF(INDEX('Exercise Library'!$D$2:$D$319,MATCH($C52,'Exercise Library'!$B$2:$B$319,0))="Yes"," · demo video",""),"⚠ Not in the library — use Custom Exercise"),"✓ Custom ("&amp;$E52&amp;")"))))))),"⚠ Check this row")</f>
      </c>
    </row>
    <row r="53" spans="1:13" x14ac:dyDescent="0.25">
      <c r="A53" s="16">
        <v>47</v>
      </c>
      <c r="B53" s="5"/>
      <c r="C53" s="5"/>
      <c r="D53" s="5"/>
      <c r="E53" s="5"/>
      <c r="F53" s="17"/>
      <c r="G53" s="5"/>
      <c r="H53" s="17"/>
      <c r="I53" s="17"/>
      <c r="J53" s="17"/>
      <c r="K53" s="17"/>
      <c r="L53" s="5"/>
      <c r="M53" s="18">
        <f>IFERROR(IF(AND($B53="",$C53="",$D53=""),IF(COUNTA($E53:$L53)&gt;0,"⚠ Pick an exercise",""),IF($B53&lt;&gt;"",IF(COUNTA($C53:$K53)&gt;0,"⚠ Put the section header on its own row","§ Section header"),IF(AND($C53&lt;&gt;"",$D53&lt;&gt;""),"⚠ Use Library OR Custom, not both",IF(AND($D53&lt;&gt;"",$E53=""),"⚠ Pick a muscle group for the custom exercise",IF(OR($H53="",$I53=""),"⚠ Enter Sets and Goal Reps",IF(IF($F53="",1=0,COUNTIF($F$7:$F$56,$F53)&lt;2),"⚠ Superset "&amp;$F53&amp;" needs 2+ exercises",IF($C53&lt;&gt;"",IFERROR("✓ "&amp;INDEX('Exercise Library'!$C$2:$C$319,MATCH($C53,'Exercise Library'!$B$2:$B$319,0))&amp;IF(INDEX('Exercise Library'!$D$2:$D$319,MATCH($C53,'Exercise Library'!$B$2:$B$319,0))="Yes"," · demo video",""),"⚠ Not in the library — use Custom Exercise"),"✓ Custom ("&amp;$E53&amp;")"))))))),"⚠ Check this row")</f>
      </c>
    </row>
    <row r="54" spans="1:13" x14ac:dyDescent="0.25">
      <c r="A54" s="16">
        <v>48</v>
      </c>
      <c r="B54" s="5"/>
      <c r="C54" s="5"/>
      <c r="D54" s="5"/>
      <c r="E54" s="5"/>
      <c r="F54" s="17"/>
      <c r="G54" s="5"/>
      <c r="H54" s="17"/>
      <c r="I54" s="17"/>
      <c r="J54" s="17"/>
      <c r="K54" s="17"/>
      <c r="L54" s="5"/>
      <c r="M54" s="18">
        <f>IFERROR(IF(AND($B54="",$C54="",$D54=""),IF(COUNTA($E54:$L54)&gt;0,"⚠ Pick an exercise",""),IF($B54&lt;&gt;"",IF(COUNTA($C54:$K54)&gt;0,"⚠ Put the section header on its own row","§ Section header"),IF(AND($C54&lt;&gt;"",$D54&lt;&gt;""),"⚠ Use Library OR Custom, not both",IF(AND($D54&lt;&gt;"",$E54=""),"⚠ Pick a muscle group for the custom exercise",IF(OR($H54="",$I54=""),"⚠ Enter Sets and Goal Reps",IF(IF($F54="",1=0,COUNTIF($F$7:$F$56,$F54)&lt;2),"⚠ Superset "&amp;$F54&amp;" needs 2+ exercises",IF($C54&lt;&gt;"",IFERROR("✓ "&amp;INDEX('Exercise Library'!$C$2:$C$319,MATCH($C54,'Exercise Library'!$B$2:$B$319,0))&amp;IF(INDEX('Exercise Library'!$D$2:$D$319,MATCH($C54,'Exercise Library'!$B$2:$B$319,0))="Yes"," · demo video",""),"⚠ Not in the library — use Custom Exercise"),"✓ Custom ("&amp;$E54&amp;")"))))))),"⚠ Check this row")</f>
      </c>
    </row>
    <row r="55" spans="1:13" x14ac:dyDescent="0.25">
      <c r="A55" s="16">
        <v>49</v>
      </c>
      <c r="B55" s="5"/>
      <c r="C55" s="5"/>
      <c r="D55" s="5"/>
      <c r="E55" s="5"/>
      <c r="F55" s="17"/>
      <c r="G55" s="5"/>
      <c r="H55" s="17"/>
      <c r="I55" s="17"/>
      <c r="J55" s="17"/>
      <c r="K55" s="17"/>
      <c r="L55" s="5"/>
      <c r="M55" s="18">
        <f>IFERROR(IF(AND($B55="",$C55="",$D55=""),IF(COUNTA($E55:$L55)&gt;0,"⚠ Pick an exercise",""),IF($B55&lt;&gt;"",IF(COUNTA($C55:$K55)&gt;0,"⚠ Put the section header on its own row","§ Section header"),IF(AND($C55&lt;&gt;"",$D55&lt;&gt;""),"⚠ Use Library OR Custom, not both",IF(AND($D55&lt;&gt;"",$E55=""),"⚠ Pick a muscle group for the custom exercise",IF(OR($H55="",$I55=""),"⚠ Enter Sets and Goal Reps",IF(IF($F55="",1=0,COUNTIF($F$7:$F$56,$F55)&lt;2),"⚠ Superset "&amp;$F55&amp;" needs 2+ exercises",IF($C55&lt;&gt;"",IFERROR("✓ "&amp;INDEX('Exercise Library'!$C$2:$C$319,MATCH($C55,'Exercise Library'!$B$2:$B$319,0))&amp;IF(INDEX('Exercise Library'!$D$2:$D$319,MATCH($C55,'Exercise Library'!$B$2:$B$319,0))="Yes"," · demo video",""),"⚠ Not in the library — use Custom Exercise"),"✓ Custom ("&amp;$E55&amp;")"))))))),"⚠ Check this row")</f>
      </c>
    </row>
    <row r="56" spans="1:13" x14ac:dyDescent="0.25">
      <c r="A56" s="16">
        <v>50</v>
      </c>
      <c r="B56" s="5"/>
      <c r="C56" s="5"/>
      <c r="D56" s="5"/>
      <c r="E56" s="5"/>
      <c r="F56" s="17"/>
      <c r="G56" s="5"/>
      <c r="H56" s="17"/>
      <c r="I56" s="17"/>
      <c r="J56" s="17"/>
      <c r="K56" s="17"/>
      <c r="L56" s="5"/>
      <c r="M56" s="18">
        <f>IFERROR(IF(AND($B56="",$C56="",$D56=""),IF(COUNTA($E56:$L56)&gt;0,"⚠ Pick an exercise",""),IF($B56&lt;&gt;"",IF(COUNTA($C56:$K56)&gt;0,"⚠ Put the section header on its own row","§ Section header"),IF(AND($C56&lt;&gt;"",$D56&lt;&gt;""),"⚠ Use Library OR Custom, not both",IF(AND($D56&lt;&gt;"",$E56=""),"⚠ Pick a muscle group for the custom exercise",IF(OR($H56="",$I56=""),"⚠ Enter Sets and Goal Reps",IF(IF($F56="",1=0,COUNTIF($F$7:$F$56,$F56)&lt;2),"⚠ Superset "&amp;$F56&amp;" needs 2+ exercises",IF($C56&lt;&gt;"",IFERROR("✓ "&amp;INDEX('Exercise Library'!$C$2:$C$319,MATCH($C56,'Exercise Library'!$B$2:$B$319,0))&amp;IF(INDEX('Exercise Library'!$D$2:$D$319,MATCH($C56,'Exercise Library'!$B$2:$B$319,0))="Yes"," · demo video",""),"⚠ Not in the library — use Custom Exercise"),"✓ Custom ("&amp;$E56&amp;")"))))))),"⚠ Check this row")</f>
      </c>
    </row>
  </sheetData>
  <mergeCells count="4">
    <mergeCell ref="A1:M1"/>
    <mergeCell ref="C3:E3"/>
    <mergeCell ref="H3:L3"/>
    <mergeCell ref="B4:M4"/>
  </mergeCells>
  <conditionalFormatting sqref="A1:M1">
    <cfRule type="expression" dxfId="86" priority="1">
      <formula>$O$1="FILL"</formula>
    </cfRule>
    <cfRule type="expression" dxfId="87" priority="2">
      <formula>$O$1="SKIP"</formula>
    </cfRule>
    <cfRule type="expression" dxfId="88" priority="3">
      <formula>$O$1=""</formula>
    </cfRule>
  </conditionalFormatting>
  <conditionalFormatting sqref="A7:L56">
    <cfRule type="expression" dxfId="89" priority="1">
      <formula>$O$1="SKIP"</formula>
    </cfRule>
    <cfRule type="expression" dxfId="90" priority="2">
      <formula>$B7&lt;&gt;""</formula>
    </cfRule>
  </conditionalFormatting>
  <conditionalFormatting sqref="M3:M56">
    <cfRule type="expression" dxfId="91" priority="1">
      <formula>LEFT(M3,1)="⚠"</formula>
    </cfRule>
    <cfRule type="expression" dxfId="92" priority="2">
      <formula>LEFT(M3,1)="✓"</formula>
    </cfRule>
  </conditionalFormatting>
  <dataValidations count="10">
    <dataValidation type="textLength" operator="lessThanOrEqual" allowBlank="1" showErrorMessage="1" error="200 characters or fewer." sqref="C3">
      <formula1>200</formula1>
    </dataValidation>
    <dataValidation type="list" allowBlank="1" showErrorMessage="1" errorStyle="stop" errorTitle="Pick from the list" error="Choose one of the options in the dropdown." sqref="C7:C56">
      <formula1>'Exercise Library'!$B$2:$B$319</formula1>
    </dataValidation>
    <dataValidation type="textLength" operator="lessThanOrEqual" allowBlank="1" showErrorMessage="1" error="200 characters or fewer." sqref="D7:D56">
      <formula1>200</formula1>
    </dataValidation>
    <dataValidation type="list" allowBlank="1" showErrorMessage="1" errorStyle="stop" errorTitle="Pick from the list" error="Choose one of the options in the dropdown." sqref="E7:E56">
      <formula1>Lists!$D$2:$D$15</formula1>
    </dataValidation>
    <dataValidation type="list" allowBlank="1" showErrorMessage="1" errorStyle="stop" errorTitle="Pick from the list" error="Choose one of the options in the dropdown." sqref="F7:F56">
      <formula1>Lists!$E$2:$E$11</formula1>
    </dataValidation>
    <dataValidation type="list" allowBlank="1" showErrorMessage="1" errorStyle="stop" errorTitle="Pick from the list" error="Choose one of the options in the dropdown." sqref="G7:G56">
      <formula1>Lists!$B$2:$B$9</formula1>
    </dataValidation>
    <dataValidation type="whole" allowBlank="1" showErrorMessage="1" error="Sets: a whole number from 1 to 20." sqref="H7:H56">
      <formula1>1</formula1>
      <formula2>20</formula2>
    </dataValidation>
    <dataValidation type="whole" allowBlank="1" showErrorMessage="1" error="Goal reps: a whole number from 0 to 100." sqref="I7:I56">
      <formula1>0</formula1>
      <formula2>100</formula2>
    </dataValidation>
    <dataValidation type="textLength" operator="lessThanOrEqual" allowBlank="1" showErrorMessage="1" error="Keep the rep range short, e.g. 8-12." sqref="J7:J56">
      <formula1>20</formula1>
    </dataValidation>
    <dataValidation type="decimal" allowBlank="1" showErrorMessage="1" error="Goal weight: a number from 0 to 2000 (lbs)." sqref="K7:K56">
      <formula1>0</formula1>
      <formula2>2000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4FA0"/>
  </sheetPr>
  <dimension ref="A1:P57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8" width="16" customWidth="1"/>
    <col min="9" max="9" width="40" customWidth="1"/>
    <col min="14" max="14" width="9" hidden="1" customWidth="1"/>
    <col min="15" max="15" width="9" hidden="1" customWidth="1"/>
    <col min="16" max="16" width="9" hidden="1" customWidth="1"/>
  </cols>
  <sheetData>
    <row r="1" ht="30" customHeight="1" spans="1:16" x14ac:dyDescent="0.25">
      <c r="A1" s="14">
        <f>IF($O$1="FILL","✅  FILL OUT THIS SHEET — weeks 1 to "&amp;$P$1,IF($O$1="SKIP","⛔  NOT NEEDED for a single workout","Start on the Start sheet: answer question 1 first"))</f>
      </c>
      <c r="B1" s="14"/>
      <c r="C1" s="14"/>
      <c r="D1" s="14"/>
      <c r="E1" s="14"/>
      <c r="F1" s="14"/>
      <c r="G1" s="14"/>
      <c r="H1" s="14"/>
      <c r="I1" s="14"/>
      <c r="O1">
        <f>IF(Start!$C$4="Program","FILL",IF(Start!$C$4="Single Workout","SKIP",""))</f>
      </c>
      <c r="P1">
        <f>IF(Start!$C$4="Program",N(Start!$C$8),0)</f>
      </c>
    </row>
    <row r="2" spans="15:15" x14ac:dyDescent="0.25">
      <c r="O2">
        <f>IF($O$1="FILL",COUNTIF($I$6:$I$57,"⚠*"),0)</f>
      </c>
    </row>
    <row r="3" ht="30" customHeight="1" spans="1:9" x14ac:dyDescent="0.25">
      <c r="A3" s="19" t="s">
        <v>58</v>
      </c>
      <c r="B3" s="19"/>
      <c r="C3" s="19"/>
      <c r="D3" s="19"/>
      <c r="E3" s="19"/>
      <c r="F3" s="19"/>
      <c r="G3" s="19"/>
      <c r="H3" s="19"/>
      <c r="I3" s="19"/>
    </row>
    <row r="5" ht="32" customHeight="1" spans="1:9" x14ac:dyDescent="0.25">
      <c r="A5" s="7" t="s">
        <v>59</v>
      </c>
      <c r="B5" s="7" t="s">
        <v>60</v>
      </c>
      <c r="C5" s="7" t="s">
        <v>61</v>
      </c>
      <c r="D5" s="7" t="s">
        <v>62</v>
      </c>
      <c r="E5" s="7" t="s">
        <v>63</v>
      </c>
      <c r="F5" s="7" t="s">
        <v>64</v>
      </c>
      <c r="G5" s="7" t="s">
        <v>65</v>
      </c>
      <c r="H5" s="7" t="s">
        <v>66</v>
      </c>
      <c r="I5" s="7" t="s">
        <v>57</v>
      </c>
    </row>
    <row r="6" spans="1:9" x14ac:dyDescent="0.25">
      <c r="A6" s="20">
        <v>1</v>
      </c>
      <c r="B6" s="17"/>
      <c r="C6" s="17"/>
      <c r="D6" s="17"/>
      <c r="E6" s="17"/>
      <c r="F6" s="17"/>
      <c r="G6" s="17"/>
      <c r="H6" s="17"/>
      <c r="I6" s="18">
        <f>IFERROR(IF($O$1&lt;&gt;"FILL","",IF($A6&gt;$P$1,IF(COUNTA($B6:$H6)&gt;0,"⚠ Past the program length — clear it or raise question 5",""),IF(COUNTA($B6:$H6)&lt;7,"⚠ Fill all 7 days (use REST for rest days)",IF(((COUNTIF(Lists!$A$2:$A$14,$B6)=0)+(COUNTIF(Lists!$A$2:$A$14,$C6)=0)+(COUNTIF(Lists!$A$2:$A$14,$D6)=0)+(COUNTIF(Lists!$A$2:$A$14,$E6)=0)+(COUNTIF(Lists!$A$2:$A$14,$F6)=0)+(COUNTIF(Lists!$A$2:$A$14,$G6)=0)+(COUNTIF(Lists!$A$2:$A$14,$H6)=0))&gt;0,"⚠ Unknown workout name — pick from the dropdown","✓")))),"⚠ Check this row")</f>
      </c>
    </row>
    <row r="7" spans="1:9" x14ac:dyDescent="0.25">
      <c r="A7" s="20">
        <v>2</v>
      </c>
      <c r="B7" s="17"/>
      <c r="C7" s="17"/>
      <c r="D7" s="17"/>
      <c r="E7" s="17"/>
      <c r="F7" s="17"/>
      <c r="G7" s="17"/>
      <c r="H7" s="17"/>
      <c r="I7" s="18">
        <f>IFERROR(IF($O$1&lt;&gt;"FILL","",IF($A7&gt;$P$1,IF(COUNTA($B7:$H7)&gt;0,"⚠ Past the program length — clear it or raise question 5",""),IF(COUNTA($B7:$H7)&lt;7,"⚠ Fill all 7 days (use REST for rest days)",IF(((COUNTIF(Lists!$A$2:$A$14,$B7)=0)+(COUNTIF(Lists!$A$2:$A$14,$C7)=0)+(COUNTIF(Lists!$A$2:$A$14,$D7)=0)+(COUNTIF(Lists!$A$2:$A$14,$E7)=0)+(COUNTIF(Lists!$A$2:$A$14,$F7)=0)+(COUNTIF(Lists!$A$2:$A$14,$G7)=0)+(COUNTIF(Lists!$A$2:$A$14,$H7)=0))&gt;0,"⚠ Unknown workout name — pick from the dropdown","✓")))),"⚠ Check this row")</f>
      </c>
    </row>
    <row r="8" spans="1:9" x14ac:dyDescent="0.25">
      <c r="A8" s="20">
        <v>3</v>
      </c>
      <c r="B8" s="17"/>
      <c r="C8" s="17"/>
      <c r="D8" s="17"/>
      <c r="E8" s="17"/>
      <c r="F8" s="17"/>
      <c r="G8" s="17"/>
      <c r="H8" s="17"/>
      <c r="I8" s="18">
        <f>IFERROR(IF($O$1&lt;&gt;"FILL","",IF($A8&gt;$P$1,IF(COUNTA($B8:$H8)&gt;0,"⚠ Past the program length — clear it or raise question 5",""),IF(COUNTA($B8:$H8)&lt;7,"⚠ Fill all 7 days (use REST for rest days)",IF(((COUNTIF(Lists!$A$2:$A$14,$B8)=0)+(COUNTIF(Lists!$A$2:$A$14,$C8)=0)+(COUNTIF(Lists!$A$2:$A$14,$D8)=0)+(COUNTIF(Lists!$A$2:$A$14,$E8)=0)+(COUNTIF(Lists!$A$2:$A$14,$F8)=0)+(COUNTIF(Lists!$A$2:$A$14,$G8)=0)+(COUNTIF(Lists!$A$2:$A$14,$H8)=0))&gt;0,"⚠ Unknown workout name — pick from the dropdown","✓")))),"⚠ Check this row")</f>
      </c>
    </row>
    <row r="9" spans="1:9" x14ac:dyDescent="0.25">
      <c r="A9" s="20">
        <v>4</v>
      </c>
      <c r="B9" s="17"/>
      <c r="C9" s="17"/>
      <c r="D9" s="17"/>
      <c r="E9" s="17"/>
      <c r="F9" s="17"/>
      <c r="G9" s="17"/>
      <c r="H9" s="17"/>
      <c r="I9" s="18">
        <f>IFERROR(IF($O$1&lt;&gt;"FILL","",IF($A9&gt;$P$1,IF(COUNTA($B9:$H9)&gt;0,"⚠ Past the program length — clear it or raise question 5",""),IF(COUNTA($B9:$H9)&lt;7,"⚠ Fill all 7 days (use REST for rest days)",IF(((COUNTIF(Lists!$A$2:$A$14,$B9)=0)+(COUNTIF(Lists!$A$2:$A$14,$C9)=0)+(COUNTIF(Lists!$A$2:$A$14,$D9)=0)+(COUNTIF(Lists!$A$2:$A$14,$E9)=0)+(COUNTIF(Lists!$A$2:$A$14,$F9)=0)+(COUNTIF(Lists!$A$2:$A$14,$G9)=0)+(COUNTIF(Lists!$A$2:$A$14,$H9)=0))&gt;0,"⚠ Unknown workout name — pick from the dropdown","✓")))),"⚠ Check this row")</f>
      </c>
    </row>
    <row r="10" spans="1:9" x14ac:dyDescent="0.25">
      <c r="A10" s="20">
        <v>5</v>
      </c>
      <c r="B10" s="17"/>
      <c r="C10" s="17"/>
      <c r="D10" s="17"/>
      <c r="E10" s="17"/>
      <c r="F10" s="17"/>
      <c r="G10" s="17"/>
      <c r="H10" s="17"/>
      <c r="I10" s="18">
        <f>IFERROR(IF($O$1&lt;&gt;"FILL","",IF($A10&gt;$P$1,IF(COUNTA($B10:$H10)&gt;0,"⚠ Past the program length — clear it or raise question 5",""),IF(COUNTA($B10:$H10)&lt;7,"⚠ Fill all 7 days (use REST for rest days)",IF(((COUNTIF(Lists!$A$2:$A$14,$B10)=0)+(COUNTIF(Lists!$A$2:$A$14,$C10)=0)+(COUNTIF(Lists!$A$2:$A$14,$D10)=0)+(COUNTIF(Lists!$A$2:$A$14,$E10)=0)+(COUNTIF(Lists!$A$2:$A$14,$F10)=0)+(COUNTIF(Lists!$A$2:$A$14,$G10)=0)+(COUNTIF(Lists!$A$2:$A$14,$H10)=0))&gt;0,"⚠ Unknown workout name — pick from the dropdown","✓")))),"⚠ Check this row")</f>
      </c>
    </row>
    <row r="11" spans="1:9" x14ac:dyDescent="0.25">
      <c r="A11" s="20">
        <v>6</v>
      </c>
      <c r="B11" s="17"/>
      <c r="C11" s="17"/>
      <c r="D11" s="17"/>
      <c r="E11" s="17"/>
      <c r="F11" s="17"/>
      <c r="G11" s="17"/>
      <c r="H11" s="17"/>
      <c r="I11" s="18">
        <f>IFERROR(IF($O$1&lt;&gt;"FILL","",IF($A11&gt;$P$1,IF(COUNTA($B11:$H11)&gt;0,"⚠ Past the program length — clear it or raise question 5",""),IF(COUNTA($B11:$H11)&lt;7,"⚠ Fill all 7 days (use REST for rest days)",IF(((COUNTIF(Lists!$A$2:$A$14,$B11)=0)+(COUNTIF(Lists!$A$2:$A$14,$C11)=0)+(COUNTIF(Lists!$A$2:$A$14,$D11)=0)+(COUNTIF(Lists!$A$2:$A$14,$E11)=0)+(COUNTIF(Lists!$A$2:$A$14,$F11)=0)+(COUNTIF(Lists!$A$2:$A$14,$G11)=0)+(COUNTIF(Lists!$A$2:$A$14,$H11)=0))&gt;0,"⚠ Unknown workout name — pick from the dropdown","✓")))),"⚠ Check this row")</f>
      </c>
    </row>
    <row r="12" spans="1:9" x14ac:dyDescent="0.25">
      <c r="A12" s="20">
        <v>7</v>
      </c>
      <c r="B12" s="17"/>
      <c r="C12" s="17"/>
      <c r="D12" s="17"/>
      <c r="E12" s="17"/>
      <c r="F12" s="17"/>
      <c r="G12" s="17"/>
      <c r="H12" s="17"/>
      <c r="I12" s="18">
        <f>IFERROR(IF($O$1&lt;&gt;"FILL","",IF($A12&gt;$P$1,IF(COUNTA($B12:$H12)&gt;0,"⚠ Past the program length — clear it or raise question 5",""),IF(COUNTA($B12:$H12)&lt;7,"⚠ Fill all 7 days (use REST for rest days)",IF(((COUNTIF(Lists!$A$2:$A$14,$B12)=0)+(COUNTIF(Lists!$A$2:$A$14,$C12)=0)+(COUNTIF(Lists!$A$2:$A$14,$D12)=0)+(COUNTIF(Lists!$A$2:$A$14,$E12)=0)+(COUNTIF(Lists!$A$2:$A$14,$F12)=0)+(COUNTIF(Lists!$A$2:$A$14,$G12)=0)+(COUNTIF(Lists!$A$2:$A$14,$H12)=0))&gt;0,"⚠ Unknown workout name — pick from the dropdown","✓")))),"⚠ Check this row")</f>
      </c>
    </row>
    <row r="13" spans="1:9" x14ac:dyDescent="0.25">
      <c r="A13" s="20">
        <v>8</v>
      </c>
      <c r="B13" s="17"/>
      <c r="C13" s="17"/>
      <c r="D13" s="17"/>
      <c r="E13" s="17"/>
      <c r="F13" s="17"/>
      <c r="G13" s="17"/>
      <c r="H13" s="17"/>
      <c r="I13" s="18">
        <f>IFERROR(IF($O$1&lt;&gt;"FILL","",IF($A13&gt;$P$1,IF(COUNTA($B13:$H13)&gt;0,"⚠ Past the program length — clear it or raise question 5",""),IF(COUNTA($B13:$H13)&lt;7,"⚠ Fill all 7 days (use REST for rest days)",IF(((COUNTIF(Lists!$A$2:$A$14,$B13)=0)+(COUNTIF(Lists!$A$2:$A$14,$C13)=0)+(COUNTIF(Lists!$A$2:$A$14,$D13)=0)+(COUNTIF(Lists!$A$2:$A$14,$E13)=0)+(COUNTIF(Lists!$A$2:$A$14,$F13)=0)+(COUNTIF(Lists!$A$2:$A$14,$G13)=0)+(COUNTIF(Lists!$A$2:$A$14,$H13)=0))&gt;0,"⚠ Unknown workout name — pick from the dropdown","✓")))),"⚠ Check this row")</f>
      </c>
    </row>
    <row r="14" spans="1:9" x14ac:dyDescent="0.25">
      <c r="A14" s="20">
        <v>9</v>
      </c>
      <c r="B14" s="17"/>
      <c r="C14" s="17"/>
      <c r="D14" s="17"/>
      <c r="E14" s="17"/>
      <c r="F14" s="17"/>
      <c r="G14" s="17"/>
      <c r="H14" s="17"/>
      <c r="I14" s="18">
        <f>IFERROR(IF($O$1&lt;&gt;"FILL","",IF($A14&gt;$P$1,IF(COUNTA($B14:$H14)&gt;0,"⚠ Past the program length — clear it or raise question 5",""),IF(COUNTA($B14:$H14)&lt;7,"⚠ Fill all 7 days (use REST for rest days)",IF(((COUNTIF(Lists!$A$2:$A$14,$B14)=0)+(COUNTIF(Lists!$A$2:$A$14,$C14)=0)+(COUNTIF(Lists!$A$2:$A$14,$D14)=0)+(COUNTIF(Lists!$A$2:$A$14,$E14)=0)+(COUNTIF(Lists!$A$2:$A$14,$F14)=0)+(COUNTIF(Lists!$A$2:$A$14,$G14)=0)+(COUNTIF(Lists!$A$2:$A$14,$H14)=0))&gt;0,"⚠ Unknown workout name — pick from the dropdown","✓")))),"⚠ Check this row")</f>
      </c>
    </row>
    <row r="15" spans="1:9" x14ac:dyDescent="0.25">
      <c r="A15" s="20">
        <v>10</v>
      </c>
      <c r="B15" s="17"/>
      <c r="C15" s="17"/>
      <c r="D15" s="17"/>
      <c r="E15" s="17"/>
      <c r="F15" s="17"/>
      <c r="G15" s="17"/>
      <c r="H15" s="17"/>
      <c r="I15" s="18">
        <f>IFERROR(IF($O$1&lt;&gt;"FILL","",IF($A15&gt;$P$1,IF(COUNTA($B15:$H15)&gt;0,"⚠ Past the program length — clear it or raise question 5",""),IF(COUNTA($B15:$H15)&lt;7,"⚠ Fill all 7 days (use REST for rest days)",IF(((COUNTIF(Lists!$A$2:$A$14,$B15)=0)+(COUNTIF(Lists!$A$2:$A$14,$C15)=0)+(COUNTIF(Lists!$A$2:$A$14,$D15)=0)+(COUNTIF(Lists!$A$2:$A$14,$E15)=0)+(COUNTIF(Lists!$A$2:$A$14,$F15)=0)+(COUNTIF(Lists!$A$2:$A$14,$G15)=0)+(COUNTIF(Lists!$A$2:$A$14,$H15)=0))&gt;0,"⚠ Unknown workout name — pick from the dropdown","✓")))),"⚠ Check this row")</f>
      </c>
    </row>
    <row r="16" spans="1:9" x14ac:dyDescent="0.25">
      <c r="A16" s="20">
        <v>11</v>
      </c>
      <c r="B16" s="17"/>
      <c r="C16" s="17"/>
      <c r="D16" s="17"/>
      <c r="E16" s="17"/>
      <c r="F16" s="17"/>
      <c r="G16" s="17"/>
      <c r="H16" s="17"/>
      <c r="I16" s="18">
        <f>IFERROR(IF($O$1&lt;&gt;"FILL","",IF($A16&gt;$P$1,IF(COUNTA($B16:$H16)&gt;0,"⚠ Past the program length — clear it or raise question 5",""),IF(COUNTA($B16:$H16)&lt;7,"⚠ Fill all 7 days (use REST for rest days)",IF(((COUNTIF(Lists!$A$2:$A$14,$B16)=0)+(COUNTIF(Lists!$A$2:$A$14,$C16)=0)+(COUNTIF(Lists!$A$2:$A$14,$D16)=0)+(COUNTIF(Lists!$A$2:$A$14,$E16)=0)+(COUNTIF(Lists!$A$2:$A$14,$F16)=0)+(COUNTIF(Lists!$A$2:$A$14,$G16)=0)+(COUNTIF(Lists!$A$2:$A$14,$H16)=0))&gt;0,"⚠ Unknown workout name — pick from the dropdown","✓")))),"⚠ Check this row")</f>
      </c>
    </row>
    <row r="17" spans="1:9" x14ac:dyDescent="0.25">
      <c r="A17" s="20">
        <v>12</v>
      </c>
      <c r="B17" s="17"/>
      <c r="C17" s="17"/>
      <c r="D17" s="17"/>
      <c r="E17" s="17"/>
      <c r="F17" s="17"/>
      <c r="G17" s="17"/>
      <c r="H17" s="17"/>
      <c r="I17" s="18">
        <f>IFERROR(IF($O$1&lt;&gt;"FILL","",IF($A17&gt;$P$1,IF(COUNTA($B17:$H17)&gt;0,"⚠ Past the program length — clear it or raise question 5",""),IF(COUNTA($B17:$H17)&lt;7,"⚠ Fill all 7 days (use REST for rest days)",IF(((COUNTIF(Lists!$A$2:$A$14,$B17)=0)+(COUNTIF(Lists!$A$2:$A$14,$C17)=0)+(COUNTIF(Lists!$A$2:$A$14,$D17)=0)+(COUNTIF(Lists!$A$2:$A$14,$E17)=0)+(COUNTIF(Lists!$A$2:$A$14,$F17)=0)+(COUNTIF(Lists!$A$2:$A$14,$G17)=0)+(COUNTIF(Lists!$A$2:$A$14,$H17)=0))&gt;0,"⚠ Unknown workout name — pick from the dropdown","✓")))),"⚠ Check this row")</f>
      </c>
    </row>
    <row r="18" spans="1:9" x14ac:dyDescent="0.25">
      <c r="A18" s="20">
        <v>13</v>
      </c>
      <c r="B18" s="17"/>
      <c r="C18" s="17"/>
      <c r="D18" s="17"/>
      <c r="E18" s="17"/>
      <c r="F18" s="17"/>
      <c r="G18" s="17"/>
      <c r="H18" s="17"/>
      <c r="I18" s="18">
        <f>IFERROR(IF($O$1&lt;&gt;"FILL","",IF($A18&gt;$P$1,IF(COUNTA($B18:$H18)&gt;0,"⚠ Past the program length — clear it or raise question 5",""),IF(COUNTA($B18:$H18)&lt;7,"⚠ Fill all 7 days (use REST for rest days)",IF(((COUNTIF(Lists!$A$2:$A$14,$B18)=0)+(COUNTIF(Lists!$A$2:$A$14,$C18)=0)+(COUNTIF(Lists!$A$2:$A$14,$D18)=0)+(COUNTIF(Lists!$A$2:$A$14,$E18)=0)+(COUNTIF(Lists!$A$2:$A$14,$F18)=0)+(COUNTIF(Lists!$A$2:$A$14,$G18)=0)+(COUNTIF(Lists!$A$2:$A$14,$H18)=0))&gt;0,"⚠ Unknown workout name — pick from the dropdown","✓")))),"⚠ Check this row")</f>
      </c>
    </row>
    <row r="19" spans="1:9" x14ac:dyDescent="0.25">
      <c r="A19" s="20">
        <v>14</v>
      </c>
      <c r="B19" s="17"/>
      <c r="C19" s="17"/>
      <c r="D19" s="17"/>
      <c r="E19" s="17"/>
      <c r="F19" s="17"/>
      <c r="G19" s="17"/>
      <c r="H19" s="17"/>
      <c r="I19" s="18">
        <f>IFERROR(IF($O$1&lt;&gt;"FILL","",IF($A19&gt;$P$1,IF(COUNTA($B19:$H19)&gt;0,"⚠ Past the program length — clear it or raise question 5",""),IF(COUNTA($B19:$H19)&lt;7,"⚠ Fill all 7 days (use REST for rest days)",IF(((COUNTIF(Lists!$A$2:$A$14,$B19)=0)+(COUNTIF(Lists!$A$2:$A$14,$C19)=0)+(COUNTIF(Lists!$A$2:$A$14,$D19)=0)+(COUNTIF(Lists!$A$2:$A$14,$E19)=0)+(COUNTIF(Lists!$A$2:$A$14,$F19)=0)+(COUNTIF(Lists!$A$2:$A$14,$G19)=0)+(COUNTIF(Lists!$A$2:$A$14,$H19)=0))&gt;0,"⚠ Unknown workout name — pick from the dropdown","✓")))),"⚠ Check this row")</f>
      </c>
    </row>
    <row r="20" spans="1:9" x14ac:dyDescent="0.25">
      <c r="A20" s="20">
        <v>15</v>
      </c>
      <c r="B20" s="17"/>
      <c r="C20" s="17"/>
      <c r="D20" s="17"/>
      <c r="E20" s="17"/>
      <c r="F20" s="17"/>
      <c r="G20" s="17"/>
      <c r="H20" s="17"/>
      <c r="I20" s="18">
        <f>IFERROR(IF($O$1&lt;&gt;"FILL","",IF($A20&gt;$P$1,IF(COUNTA($B20:$H20)&gt;0,"⚠ Past the program length — clear it or raise question 5",""),IF(COUNTA($B20:$H20)&lt;7,"⚠ Fill all 7 days (use REST for rest days)",IF(((COUNTIF(Lists!$A$2:$A$14,$B20)=0)+(COUNTIF(Lists!$A$2:$A$14,$C20)=0)+(COUNTIF(Lists!$A$2:$A$14,$D20)=0)+(COUNTIF(Lists!$A$2:$A$14,$E20)=0)+(COUNTIF(Lists!$A$2:$A$14,$F20)=0)+(COUNTIF(Lists!$A$2:$A$14,$G20)=0)+(COUNTIF(Lists!$A$2:$A$14,$H20)=0))&gt;0,"⚠ Unknown workout name — pick from the dropdown","✓")))),"⚠ Check this row")</f>
      </c>
    </row>
    <row r="21" spans="1:9" x14ac:dyDescent="0.25">
      <c r="A21" s="20">
        <v>16</v>
      </c>
      <c r="B21" s="17"/>
      <c r="C21" s="17"/>
      <c r="D21" s="17"/>
      <c r="E21" s="17"/>
      <c r="F21" s="17"/>
      <c r="G21" s="17"/>
      <c r="H21" s="17"/>
      <c r="I21" s="18">
        <f>IFERROR(IF($O$1&lt;&gt;"FILL","",IF($A21&gt;$P$1,IF(COUNTA($B21:$H21)&gt;0,"⚠ Past the program length — clear it or raise question 5",""),IF(COUNTA($B21:$H21)&lt;7,"⚠ Fill all 7 days (use REST for rest days)",IF(((COUNTIF(Lists!$A$2:$A$14,$B21)=0)+(COUNTIF(Lists!$A$2:$A$14,$C21)=0)+(COUNTIF(Lists!$A$2:$A$14,$D21)=0)+(COUNTIF(Lists!$A$2:$A$14,$E21)=0)+(COUNTIF(Lists!$A$2:$A$14,$F21)=0)+(COUNTIF(Lists!$A$2:$A$14,$G21)=0)+(COUNTIF(Lists!$A$2:$A$14,$H21)=0))&gt;0,"⚠ Unknown workout name — pick from the dropdown","✓")))),"⚠ Check this row")</f>
      </c>
    </row>
    <row r="22" spans="1:9" x14ac:dyDescent="0.25">
      <c r="A22" s="20">
        <v>17</v>
      </c>
      <c r="B22" s="17"/>
      <c r="C22" s="17"/>
      <c r="D22" s="17"/>
      <c r="E22" s="17"/>
      <c r="F22" s="17"/>
      <c r="G22" s="17"/>
      <c r="H22" s="17"/>
      <c r="I22" s="18">
        <f>IFERROR(IF($O$1&lt;&gt;"FILL","",IF($A22&gt;$P$1,IF(COUNTA($B22:$H22)&gt;0,"⚠ Past the program length — clear it or raise question 5",""),IF(COUNTA($B22:$H22)&lt;7,"⚠ Fill all 7 days (use REST for rest days)",IF(((COUNTIF(Lists!$A$2:$A$14,$B22)=0)+(COUNTIF(Lists!$A$2:$A$14,$C22)=0)+(COUNTIF(Lists!$A$2:$A$14,$D22)=0)+(COUNTIF(Lists!$A$2:$A$14,$E22)=0)+(COUNTIF(Lists!$A$2:$A$14,$F22)=0)+(COUNTIF(Lists!$A$2:$A$14,$G22)=0)+(COUNTIF(Lists!$A$2:$A$14,$H22)=0))&gt;0,"⚠ Unknown workout name — pick from the dropdown","✓")))),"⚠ Check this row")</f>
      </c>
    </row>
    <row r="23" spans="1:9" x14ac:dyDescent="0.25">
      <c r="A23" s="20">
        <v>18</v>
      </c>
      <c r="B23" s="17"/>
      <c r="C23" s="17"/>
      <c r="D23" s="17"/>
      <c r="E23" s="17"/>
      <c r="F23" s="17"/>
      <c r="G23" s="17"/>
      <c r="H23" s="17"/>
      <c r="I23" s="18">
        <f>IFERROR(IF($O$1&lt;&gt;"FILL","",IF($A23&gt;$P$1,IF(COUNTA($B23:$H23)&gt;0,"⚠ Past the program length — clear it or raise question 5",""),IF(COUNTA($B23:$H23)&lt;7,"⚠ Fill all 7 days (use REST for rest days)",IF(((COUNTIF(Lists!$A$2:$A$14,$B23)=0)+(COUNTIF(Lists!$A$2:$A$14,$C23)=0)+(COUNTIF(Lists!$A$2:$A$14,$D23)=0)+(COUNTIF(Lists!$A$2:$A$14,$E23)=0)+(COUNTIF(Lists!$A$2:$A$14,$F23)=0)+(COUNTIF(Lists!$A$2:$A$14,$G23)=0)+(COUNTIF(Lists!$A$2:$A$14,$H23)=0))&gt;0,"⚠ Unknown workout name — pick from the dropdown","✓")))),"⚠ Check this row")</f>
      </c>
    </row>
    <row r="24" spans="1:9" x14ac:dyDescent="0.25">
      <c r="A24" s="20">
        <v>19</v>
      </c>
      <c r="B24" s="17"/>
      <c r="C24" s="17"/>
      <c r="D24" s="17"/>
      <c r="E24" s="17"/>
      <c r="F24" s="17"/>
      <c r="G24" s="17"/>
      <c r="H24" s="17"/>
      <c r="I24" s="18">
        <f>IFERROR(IF($O$1&lt;&gt;"FILL","",IF($A24&gt;$P$1,IF(COUNTA($B24:$H24)&gt;0,"⚠ Past the program length — clear it or raise question 5",""),IF(COUNTA($B24:$H24)&lt;7,"⚠ Fill all 7 days (use REST for rest days)",IF(((COUNTIF(Lists!$A$2:$A$14,$B24)=0)+(COUNTIF(Lists!$A$2:$A$14,$C24)=0)+(COUNTIF(Lists!$A$2:$A$14,$D24)=0)+(COUNTIF(Lists!$A$2:$A$14,$E24)=0)+(COUNTIF(Lists!$A$2:$A$14,$F24)=0)+(COUNTIF(Lists!$A$2:$A$14,$G24)=0)+(COUNTIF(Lists!$A$2:$A$14,$H24)=0))&gt;0,"⚠ Unknown workout name — pick from the dropdown","✓")))),"⚠ Check this row")</f>
      </c>
    </row>
    <row r="25" spans="1:9" x14ac:dyDescent="0.25">
      <c r="A25" s="20">
        <v>20</v>
      </c>
      <c r="B25" s="17"/>
      <c r="C25" s="17"/>
      <c r="D25" s="17"/>
      <c r="E25" s="17"/>
      <c r="F25" s="17"/>
      <c r="G25" s="17"/>
      <c r="H25" s="17"/>
      <c r="I25" s="18">
        <f>IFERROR(IF($O$1&lt;&gt;"FILL","",IF($A25&gt;$P$1,IF(COUNTA($B25:$H25)&gt;0,"⚠ Past the program length — clear it or raise question 5",""),IF(COUNTA($B25:$H25)&lt;7,"⚠ Fill all 7 days (use REST for rest days)",IF(((COUNTIF(Lists!$A$2:$A$14,$B25)=0)+(COUNTIF(Lists!$A$2:$A$14,$C25)=0)+(COUNTIF(Lists!$A$2:$A$14,$D25)=0)+(COUNTIF(Lists!$A$2:$A$14,$E25)=0)+(COUNTIF(Lists!$A$2:$A$14,$F25)=0)+(COUNTIF(Lists!$A$2:$A$14,$G25)=0)+(COUNTIF(Lists!$A$2:$A$14,$H25)=0))&gt;0,"⚠ Unknown workout name — pick from the dropdown","✓")))),"⚠ Check this row")</f>
      </c>
    </row>
    <row r="26" spans="1:9" x14ac:dyDescent="0.25">
      <c r="A26" s="20">
        <v>21</v>
      </c>
      <c r="B26" s="17"/>
      <c r="C26" s="17"/>
      <c r="D26" s="17"/>
      <c r="E26" s="17"/>
      <c r="F26" s="17"/>
      <c r="G26" s="17"/>
      <c r="H26" s="17"/>
      <c r="I26" s="18">
        <f>IFERROR(IF($O$1&lt;&gt;"FILL","",IF($A26&gt;$P$1,IF(COUNTA($B26:$H26)&gt;0,"⚠ Past the program length — clear it or raise question 5",""),IF(COUNTA($B26:$H26)&lt;7,"⚠ Fill all 7 days (use REST for rest days)",IF(((COUNTIF(Lists!$A$2:$A$14,$B26)=0)+(COUNTIF(Lists!$A$2:$A$14,$C26)=0)+(COUNTIF(Lists!$A$2:$A$14,$D26)=0)+(COUNTIF(Lists!$A$2:$A$14,$E26)=0)+(COUNTIF(Lists!$A$2:$A$14,$F26)=0)+(COUNTIF(Lists!$A$2:$A$14,$G26)=0)+(COUNTIF(Lists!$A$2:$A$14,$H26)=0))&gt;0,"⚠ Unknown workout name — pick from the dropdown","✓")))),"⚠ Check this row")</f>
      </c>
    </row>
    <row r="27" spans="1:9" x14ac:dyDescent="0.25">
      <c r="A27" s="20">
        <v>22</v>
      </c>
      <c r="B27" s="17"/>
      <c r="C27" s="17"/>
      <c r="D27" s="17"/>
      <c r="E27" s="17"/>
      <c r="F27" s="17"/>
      <c r="G27" s="17"/>
      <c r="H27" s="17"/>
      <c r="I27" s="18">
        <f>IFERROR(IF($O$1&lt;&gt;"FILL","",IF($A27&gt;$P$1,IF(COUNTA($B27:$H27)&gt;0,"⚠ Past the program length — clear it or raise question 5",""),IF(COUNTA($B27:$H27)&lt;7,"⚠ Fill all 7 days (use REST for rest days)",IF(((COUNTIF(Lists!$A$2:$A$14,$B27)=0)+(COUNTIF(Lists!$A$2:$A$14,$C27)=0)+(COUNTIF(Lists!$A$2:$A$14,$D27)=0)+(COUNTIF(Lists!$A$2:$A$14,$E27)=0)+(COUNTIF(Lists!$A$2:$A$14,$F27)=0)+(COUNTIF(Lists!$A$2:$A$14,$G27)=0)+(COUNTIF(Lists!$A$2:$A$14,$H27)=0))&gt;0,"⚠ Unknown workout name — pick from the dropdown","✓")))),"⚠ Check this row")</f>
      </c>
    </row>
    <row r="28" spans="1:9" x14ac:dyDescent="0.25">
      <c r="A28" s="20">
        <v>23</v>
      </c>
      <c r="B28" s="17"/>
      <c r="C28" s="17"/>
      <c r="D28" s="17"/>
      <c r="E28" s="17"/>
      <c r="F28" s="17"/>
      <c r="G28" s="17"/>
      <c r="H28" s="17"/>
      <c r="I28" s="18">
        <f>IFERROR(IF($O$1&lt;&gt;"FILL","",IF($A28&gt;$P$1,IF(COUNTA($B28:$H28)&gt;0,"⚠ Past the program length — clear it or raise question 5",""),IF(COUNTA($B28:$H28)&lt;7,"⚠ Fill all 7 days (use REST for rest days)",IF(((COUNTIF(Lists!$A$2:$A$14,$B28)=0)+(COUNTIF(Lists!$A$2:$A$14,$C28)=0)+(COUNTIF(Lists!$A$2:$A$14,$D28)=0)+(COUNTIF(Lists!$A$2:$A$14,$E28)=0)+(COUNTIF(Lists!$A$2:$A$14,$F28)=0)+(COUNTIF(Lists!$A$2:$A$14,$G28)=0)+(COUNTIF(Lists!$A$2:$A$14,$H28)=0))&gt;0,"⚠ Unknown workout name — pick from the dropdown","✓")))),"⚠ Check this row")</f>
      </c>
    </row>
    <row r="29" spans="1:9" x14ac:dyDescent="0.25">
      <c r="A29" s="20">
        <v>24</v>
      </c>
      <c r="B29" s="17"/>
      <c r="C29" s="17"/>
      <c r="D29" s="17"/>
      <c r="E29" s="17"/>
      <c r="F29" s="17"/>
      <c r="G29" s="17"/>
      <c r="H29" s="17"/>
      <c r="I29" s="18">
        <f>IFERROR(IF($O$1&lt;&gt;"FILL","",IF($A29&gt;$P$1,IF(COUNTA($B29:$H29)&gt;0,"⚠ Past the program length — clear it or raise question 5",""),IF(COUNTA($B29:$H29)&lt;7,"⚠ Fill all 7 days (use REST for rest days)",IF(((COUNTIF(Lists!$A$2:$A$14,$B29)=0)+(COUNTIF(Lists!$A$2:$A$14,$C29)=0)+(COUNTIF(Lists!$A$2:$A$14,$D29)=0)+(COUNTIF(Lists!$A$2:$A$14,$E29)=0)+(COUNTIF(Lists!$A$2:$A$14,$F29)=0)+(COUNTIF(Lists!$A$2:$A$14,$G29)=0)+(COUNTIF(Lists!$A$2:$A$14,$H29)=0))&gt;0,"⚠ Unknown workout name — pick from the dropdown","✓")))),"⚠ Check this row")</f>
      </c>
    </row>
    <row r="30" spans="1:9" x14ac:dyDescent="0.25">
      <c r="A30" s="20">
        <v>25</v>
      </c>
      <c r="B30" s="17"/>
      <c r="C30" s="17"/>
      <c r="D30" s="17"/>
      <c r="E30" s="17"/>
      <c r="F30" s="17"/>
      <c r="G30" s="17"/>
      <c r="H30" s="17"/>
      <c r="I30" s="18">
        <f>IFERROR(IF($O$1&lt;&gt;"FILL","",IF($A30&gt;$P$1,IF(COUNTA($B30:$H30)&gt;0,"⚠ Past the program length — clear it or raise question 5",""),IF(COUNTA($B30:$H30)&lt;7,"⚠ Fill all 7 days (use REST for rest days)",IF(((COUNTIF(Lists!$A$2:$A$14,$B30)=0)+(COUNTIF(Lists!$A$2:$A$14,$C30)=0)+(COUNTIF(Lists!$A$2:$A$14,$D30)=0)+(COUNTIF(Lists!$A$2:$A$14,$E30)=0)+(COUNTIF(Lists!$A$2:$A$14,$F30)=0)+(COUNTIF(Lists!$A$2:$A$14,$G30)=0)+(COUNTIF(Lists!$A$2:$A$14,$H30)=0))&gt;0,"⚠ Unknown workout name — pick from the dropdown","✓")))),"⚠ Check this row")</f>
      </c>
    </row>
    <row r="31" spans="1:9" x14ac:dyDescent="0.25">
      <c r="A31" s="20">
        <v>26</v>
      </c>
      <c r="B31" s="17"/>
      <c r="C31" s="17"/>
      <c r="D31" s="17"/>
      <c r="E31" s="17"/>
      <c r="F31" s="17"/>
      <c r="G31" s="17"/>
      <c r="H31" s="17"/>
      <c r="I31" s="18">
        <f>IFERROR(IF($O$1&lt;&gt;"FILL","",IF($A31&gt;$P$1,IF(COUNTA($B31:$H31)&gt;0,"⚠ Past the program length — clear it or raise question 5",""),IF(COUNTA($B31:$H31)&lt;7,"⚠ Fill all 7 days (use REST for rest days)",IF(((COUNTIF(Lists!$A$2:$A$14,$B31)=0)+(COUNTIF(Lists!$A$2:$A$14,$C31)=0)+(COUNTIF(Lists!$A$2:$A$14,$D31)=0)+(COUNTIF(Lists!$A$2:$A$14,$E31)=0)+(COUNTIF(Lists!$A$2:$A$14,$F31)=0)+(COUNTIF(Lists!$A$2:$A$14,$G31)=0)+(COUNTIF(Lists!$A$2:$A$14,$H31)=0))&gt;0,"⚠ Unknown workout name — pick from the dropdown","✓")))),"⚠ Check this row")</f>
      </c>
    </row>
    <row r="32" spans="1:9" x14ac:dyDescent="0.25">
      <c r="A32" s="20">
        <v>27</v>
      </c>
      <c r="B32" s="17"/>
      <c r="C32" s="17"/>
      <c r="D32" s="17"/>
      <c r="E32" s="17"/>
      <c r="F32" s="17"/>
      <c r="G32" s="17"/>
      <c r="H32" s="17"/>
      <c r="I32" s="18">
        <f>IFERROR(IF($O$1&lt;&gt;"FILL","",IF($A32&gt;$P$1,IF(COUNTA($B32:$H32)&gt;0,"⚠ Past the program length — clear it or raise question 5",""),IF(COUNTA($B32:$H32)&lt;7,"⚠ Fill all 7 days (use REST for rest days)",IF(((COUNTIF(Lists!$A$2:$A$14,$B32)=0)+(COUNTIF(Lists!$A$2:$A$14,$C32)=0)+(COUNTIF(Lists!$A$2:$A$14,$D32)=0)+(COUNTIF(Lists!$A$2:$A$14,$E32)=0)+(COUNTIF(Lists!$A$2:$A$14,$F32)=0)+(COUNTIF(Lists!$A$2:$A$14,$G32)=0)+(COUNTIF(Lists!$A$2:$A$14,$H32)=0))&gt;0,"⚠ Unknown workout name — pick from the dropdown","✓")))),"⚠ Check this row")</f>
      </c>
    </row>
    <row r="33" spans="1:9" x14ac:dyDescent="0.25">
      <c r="A33" s="20">
        <v>28</v>
      </c>
      <c r="B33" s="17"/>
      <c r="C33" s="17"/>
      <c r="D33" s="17"/>
      <c r="E33" s="17"/>
      <c r="F33" s="17"/>
      <c r="G33" s="17"/>
      <c r="H33" s="17"/>
      <c r="I33" s="18">
        <f>IFERROR(IF($O$1&lt;&gt;"FILL","",IF($A33&gt;$P$1,IF(COUNTA($B33:$H33)&gt;0,"⚠ Past the program length — clear it or raise question 5",""),IF(COUNTA($B33:$H33)&lt;7,"⚠ Fill all 7 days (use REST for rest days)",IF(((COUNTIF(Lists!$A$2:$A$14,$B33)=0)+(COUNTIF(Lists!$A$2:$A$14,$C33)=0)+(COUNTIF(Lists!$A$2:$A$14,$D33)=0)+(COUNTIF(Lists!$A$2:$A$14,$E33)=0)+(COUNTIF(Lists!$A$2:$A$14,$F33)=0)+(COUNTIF(Lists!$A$2:$A$14,$G33)=0)+(COUNTIF(Lists!$A$2:$A$14,$H33)=0))&gt;0,"⚠ Unknown workout name — pick from the dropdown","✓")))),"⚠ Check this row")</f>
      </c>
    </row>
    <row r="34" spans="1:9" x14ac:dyDescent="0.25">
      <c r="A34" s="20">
        <v>29</v>
      </c>
      <c r="B34" s="17"/>
      <c r="C34" s="17"/>
      <c r="D34" s="17"/>
      <c r="E34" s="17"/>
      <c r="F34" s="17"/>
      <c r="G34" s="17"/>
      <c r="H34" s="17"/>
      <c r="I34" s="18">
        <f>IFERROR(IF($O$1&lt;&gt;"FILL","",IF($A34&gt;$P$1,IF(COUNTA($B34:$H34)&gt;0,"⚠ Past the program length — clear it or raise question 5",""),IF(COUNTA($B34:$H34)&lt;7,"⚠ Fill all 7 days (use REST for rest days)",IF(((COUNTIF(Lists!$A$2:$A$14,$B34)=0)+(COUNTIF(Lists!$A$2:$A$14,$C34)=0)+(COUNTIF(Lists!$A$2:$A$14,$D34)=0)+(COUNTIF(Lists!$A$2:$A$14,$E34)=0)+(COUNTIF(Lists!$A$2:$A$14,$F34)=0)+(COUNTIF(Lists!$A$2:$A$14,$G34)=0)+(COUNTIF(Lists!$A$2:$A$14,$H34)=0))&gt;0,"⚠ Unknown workout name — pick from the dropdown","✓")))),"⚠ Check this row")</f>
      </c>
    </row>
    <row r="35" spans="1:9" x14ac:dyDescent="0.25">
      <c r="A35" s="20">
        <v>30</v>
      </c>
      <c r="B35" s="17"/>
      <c r="C35" s="17"/>
      <c r="D35" s="17"/>
      <c r="E35" s="17"/>
      <c r="F35" s="17"/>
      <c r="G35" s="17"/>
      <c r="H35" s="17"/>
      <c r="I35" s="18">
        <f>IFERROR(IF($O$1&lt;&gt;"FILL","",IF($A35&gt;$P$1,IF(COUNTA($B35:$H35)&gt;0,"⚠ Past the program length — clear it or raise question 5",""),IF(COUNTA($B35:$H35)&lt;7,"⚠ Fill all 7 days (use REST for rest days)",IF(((COUNTIF(Lists!$A$2:$A$14,$B35)=0)+(COUNTIF(Lists!$A$2:$A$14,$C35)=0)+(COUNTIF(Lists!$A$2:$A$14,$D35)=0)+(COUNTIF(Lists!$A$2:$A$14,$E35)=0)+(COUNTIF(Lists!$A$2:$A$14,$F35)=0)+(COUNTIF(Lists!$A$2:$A$14,$G35)=0)+(COUNTIF(Lists!$A$2:$A$14,$H35)=0))&gt;0,"⚠ Unknown workout name — pick from the dropdown","✓")))),"⚠ Check this row")</f>
      </c>
    </row>
    <row r="36" spans="1:9" x14ac:dyDescent="0.25">
      <c r="A36" s="20">
        <v>31</v>
      </c>
      <c r="B36" s="17"/>
      <c r="C36" s="17"/>
      <c r="D36" s="17"/>
      <c r="E36" s="17"/>
      <c r="F36" s="17"/>
      <c r="G36" s="17"/>
      <c r="H36" s="17"/>
      <c r="I36" s="18">
        <f>IFERROR(IF($O$1&lt;&gt;"FILL","",IF($A36&gt;$P$1,IF(COUNTA($B36:$H36)&gt;0,"⚠ Past the program length — clear it or raise question 5",""),IF(COUNTA($B36:$H36)&lt;7,"⚠ Fill all 7 days (use REST for rest days)",IF(((COUNTIF(Lists!$A$2:$A$14,$B36)=0)+(COUNTIF(Lists!$A$2:$A$14,$C36)=0)+(COUNTIF(Lists!$A$2:$A$14,$D36)=0)+(COUNTIF(Lists!$A$2:$A$14,$E36)=0)+(COUNTIF(Lists!$A$2:$A$14,$F36)=0)+(COUNTIF(Lists!$A$2:$A$14,$G36)=0)+(COUNTIF(Lists!$A$2:$A$14,$H36)=0))&gt;0,"⚠ Unknown workout name — pick from the dropdown","✓")))),"⚠ Check this row")</f>
      </c>
    </row>
    <row r="37" spans="1:9" x14ac:dyDescent="0.25">
      <c r="A37" s="20">
        <v>32</v>
      </c>
      <c r="B37" s="17"/>
      <c r="C37" s="17"/>
      <c r="D37" s="17"/>
      <c r="E37" s="17"/>
      <c r="F37" s="17"/>
      <c r="G37" s="17"/>
      <c r="H37" s="17"/>
      <c r="I37" s="18">
        <f>IFERROR(IF($O$1&lt;&gt;"FILL","",IF($A37&gt;$P$1,IF(COUNTA($B37:$H37)&gt;0,"⚠ Past the program length — clear it or raise question 5",""),IF(COUNTA($B37:$H37)&lt;7,"⚠ Fill all 7 days (use REST for rest days)",IF(((COUNTIF(Lists!$A$2:$A$14,$B37)=0)+(COUNTIF(Lists!$A$2:$A$14,$C37)=0)+(COUNTIF(Lists!$A$2:$A$14,$D37)=0)+(COUNTIF(Lists!$A$2:$A$14,$E37)=0)+(COUNTIF(Lists!$A$2:$A$14,$F37)=0)+(COUNTIF(Lists!$A$2:$A$14,$G37)=0)+(COUNTIF(Lists!$A$2:$A$14,$H37)=0))&gt;0,"⚠ Unknown workout name — pick from the dropdown","✓")))),"⚠ Check this row")</f>
      </c>
    </row>
    <row r="38" spans="1:9" x14ac:dyDescent="0.25">
      <c r="A38" s="20">
        <v>33</v>
      </c>
      <c r="B38" s="17"/>
      <c r="C38" s="17"/>
      <c r="D38" s="17"/>
      <c r="E38" s="17"/>
      <c r="F38" s="17"/>
      <c r="G38" s="17"/>
      <c r="H38" s="17"/>
      <c r="I38" s="18">
        <f>IFERROR(IF($O$1&lt;&gt;"FILL","",IF($A38&gt;$P$1,IF(COUNTA($B38:$H38)&gt;0,"⚠ Past the program length — clear it or raise question 5",""),IF(COUNTA($B38:$H38)&lt;7,"⚠ Fill all 7 days (use REST for rest days)",IF(((COUNTIF(Lists!$A$2:$A$14,$B38)=0)+(COUNTIF(Lists!$A$2:$A$14,$C38)=0)+(COUNTIF(Lists!$A$2:$A$14,$D38)=0)+(COUNTIF(Lists!$A$2:$A$14,$E38)=0)+(COUNTIF(Lists!$A$2:$A$14,$F38)=0)+(COUNTIF(Lists!$A$2:$A$14,$G38)=0)+(COUNTIF(Lists!$A$2:$A$14,$H38)=0))&gt;0,"⚠ Unknown workout name — pick from the dropdown","✓")))),"⚠ Check this row")</f>
      </c>
    </row>
    <row r="39" spans="1:9" x14ac:dyDescent="0.25">
      <c r="A39" s="20">
        <v>34</v>
      </c>
      <c r="B39" s="17"/>
      <c r="C39" s="17"/>
      <c r="D39" s="17"/>
      <c r="E39" s="17"/>
      <c r="F39" s="17"/>
      <c r="G39" s="17"/>
      <c r="H39" s="17"/>
      <c r="I39" s="18">
        <f>IFERROR(IF($O$1&lt;&gt;"FILL","",IF($A39&gt;$P$1,IF(COUNTA($B39:$H39)&gt;0,"⚠ Past the program length — clear it or raise question 5",""),IF(COUNTA($B39:$H39)&lt;7,"⚠ Fill all 7 days (use REST for rest days)",IF(((COUNTIF(Lists!$A$2:$A$14,$B39)=0)+(COUNTIF(Lists!$A$2:$A$14,$C39)=0)+(COUNTIF(Lists!$A$2:$A$14,$D39)=0)+(COUNTIF(Lists!$A$2:$A$14,$E39)=0)+(COUNTIF(Lists!$A$2:$A$14,$F39)=0)+(COUNTIF(Lists!$A$2:$A$14,$G39)=0)+(COUNTIF(Lists!$A$2:$A$14,$H39)=0))&gt;0,"⚠ Unknown workout name — pick from the dropdown","✓")))),"⚠ Check this row")</f>
      </c>
    </row>
    <row r="40" spans="1:9" x14ac:dyDescent="0.25">
      <c r="A40" s="20">
        <v>35</v>
      </c>
      <c r="B40" s="17"/>
      <c r="C40" s="17"/>
      <c r="D40" s="17"/>
      <c r="E40" s="17"/>
      <c r="F40" s="17"/>
      <c r="G40" s="17"/>
      <c r="H40" s="17"/>
      <c r="I40" s="18">
        <f>IFERROR(IF($O$1&lt;&gt;"FILL","",IF($A40&gt;$P$1,IF(COUNTA($B40:$H40)&gt;0,"⚠ Past the program length — clear it or raise question 5",""),IF(COUNTA($B40:$H40)&lt;7,"⚠ Fill all 7 days (use REST for rest days)",IF(((COUNTIF(Lists!$A$2:$A$14,$B40)=0)+(COUNTIF(Lists!$A$2:$A$14,$C40)=0)+(COUNTIF(Lists!$A$2:$A$14,$D40)=0)+(COUNTIF(Lists!$A$2:$A$14,$E40)=0)+(COUNTIF(Lists!$A$2:$A$14,$F40)=0)+(COUNTIF(Lists!$A$2:$A$14,$G40)=0)+(COUNTIF(Lists!$A$2:$A$14,$H40)=0))&gt;0,"⚠ Unknown workout name — pick from the dropdown","✓")))),"⚠ Check this row")</f>
      </c>
    </row>
    <row r="41" spans="1:9" x14ac:dyDescent="0.25">
      <c r="A41" s="20">
        <v>36</v>
      </c>
      <c r="B41" s="17"/>
      <c r="C41" s="17"/>
      <c r="D41" s="17"/>
      <c r="E41" s="17"/>
      <c r="F41" s="17"/>
      <c r="G41" s="17"/>
      <c r="H41" s="17"/>
      <c r="I41" s="18">
        <f>IFERROR(IF($O$1&lt;&gt;"FILL","",IF($A41&gt;$P$1,IF(COUNTA($B41:$H41)&gt;0,"⚠ Past the program length — clear it or raise question 5",""),IF(COUNTA($B41:$H41)&lt;7,"⚠ Fill all 7 days (use REST for rest days)",IF(((COUNTIF(Lists!$A$2:$A$14,$B41)=0)+(COUNTIF(Lists!$A$2:$A$14,$C41)=0)+(COUNTIF(Lists!$A$2:$A$14,$D41)=0)+(COUNTIF(Lists!$A$2:$A$14,$E41)=0)+(COUNTIF(Lists!$A$2:$A$14,$F41)=0)+(COUNTIF(Lists!$A$2:$A$14,$G41)=0)+(COUNTIF(Lists!$A$2:$A$14,$H41)=0))&gt;0,"⚠ Unknown workout name — pick from the dropdown","✓")))),"⚠ Check this row")</f>
      </c>
    </row>
    <row r="42" spans="1:9" x14ac:dyDescent="0.25">
      <c r="A42" s="20">
        <v>37</v>
      </c>
      <c r="B42" s="17"/>
      <c r="C42" s="17"/>
      <c r="D42" s="17"/>
      <c r="E42" s="17"/>
      <c r="F42" s="17"/>
      <c r="G42" s="17"/>
      <c r="H42" s="17"/>
      <c r="I42" s="18">
        <f>IFERROR(IF($O$1&lt;&gt;"FILL","",IF($A42&gt;$P$1,IF(COUNTA($B42:$H42)&gt;0,"⚠ Past the program length — clear it or raise question 5",""),IF(COUNTA($B42:$H42)&lt;7,"⚠ Fill all 7 days (use REST for rest days)",IF(((COUNTIF(Lists!$A$2:$A$14,$B42)=0)+(COUNTIF(Lists!$A$2:$A$14,$C42)=0)+(COUNTIF(Lists!$A$2:$A$14,$D42)=0)+(COUNTIF(Lists!$A$2:$A$14,$E42)=0)+(COUNTIF(Lists!$A$2:$A$14,$F42)=0)+(COUNTIF(Lists!$A$2:$A$14,$G42)=0)+(COUNTIF(Lists!$A$2:$A$14,$H42)=0))&gt;0,"⚠ Unknown workout name — pick from the dropdown","✓")))),"⚠ Check this row")</f>
      </c>
    </row>
    <row r="43" spans="1:9" x14ac:dyDescent="0.25">
      <c r="A43" s="20">
        <v>38</v>
      </c>
      <c r="B43" s="17"/>
      <c r="C43" s="17"/>
      <c r="D43" s="17"/>
      <c r="E43" s="17"/>
      <c r="F43" s="17"/>
      <c r="G43" s="17"/>
      <c r="H43" s="17"/>
      <c r="I43" s="18">
        <f>IFERROR(IF($O$1&lt;&gt;"FILL","",IF($A43&gt;$P$1,IF(COUNTA($B43:$H43)&gt;0,"⚠ Past the program length — clear it or raise question 5",""),IF(COUNTA($B43:$H43)&lt;7,"⚠ Fill all 7 days (use REST for rest days)",IF(((COUNTIF(Lists!$A$2:$A$14,$B43)=0)+(COUNTIF(Lists!$A$2:$A$14,$C43)=0)+(COUNTIF(Lists!$A$2:$A$14,$D43)=0)+(COUNTIF(Lists!$A$2:$A$14,$E43)=0)+(COUNTIF(Lists!$A$2:$A$14,$F43)=0)+(COUNTIF(Lists!$A$2:$A$14,$G43)=0)+(COUNTIF(Lists!$A$2:$A$14,$H43)=0))&gt;0,"⚠ Unknown workout name — pick from the dropdown","✓")))),"⚠ Check this row")</f>
      </c>
    </row>
    <row r="44" spans="1:9" x14ac:dyDescent="0.25">
      <c r="A44" s="20">
        <v>39</v>
      </c>
      <c r="B44" s="17"/>
      <c r="C44" s="17"/>
      <c r="D44" s="17"/>
      <c r="E44" s="17"/>
      <c r="F44" s="17"/>
      <c r="G44" s="17"/>
      <c r="H44" s="17"/>
      <c r="I44" s="18">
        <f>IFERROR(IF($O$1&lt;&gt;"FILL","",IF($A44&gt;$P$1,IF(COUNTA($B44:$H44)&gt;0,"⚠ Past the program length — clear it or raise question 5",""),IF(COUNTA($B44:$H44)&lt;7,"⚠ Fill all 7 days (use REST for rest days)",IF(((COUNTIF(Lists!$A$2:$A$14,$B44)=0)+(COUNTIF(Lists!$A$2:$A$14,$C44)=0)+(COUNTIF(Lists!$A$2:$A$14,$D44)=0)+(COUNTIF(Lists!$A$2:$A$14,$E44)=0)+(COUNTIF(Lists!$A$2:$A$14,$F44)=0)+(COUNTIF(Lists!$A$2:$A$14,$G44)=0)+(COUNTIF(Lists!$A$2:$A$14,$H44)=0))&gt;0,"⚠ Unknown workout name — pick from the dropdown","✓")))),"⚠ Check this row")</f>
      </c>
    </row>
    <row r="45" spans="1:9" x14ac:dyDescent="0.25">
      <c r="A45" s="20">
        <v>40</v>
      </c>
      <c r="B45" s="17"/>
      <c r="C45" s="17"/>
      <c r="D45" s="17"/>
      <c r="E45" s="17"/>
      <c r="F45" s="17"/>
      <c r="G45" s="17"/>
      <c r="H45" s="17"/>
      <c r="I45" s="18">
        <f>IFERROR(IF($O$1&lt;&gt;"FILL","",IF($A45&gt;$P$1,IF(COUNTA($B45:$H45)&gt;0,"⚠ Past the program length — clear it or raise question 5",""),IF(COUNTA($B45:$H45)&lt;7,"⚠ Fill all 7 days (use REST for rest days)",IF(((COUNTIF(Lists!$A$2:$A$14,$B45)=0)+(COUNTIF(Lists!$A$2:$A$14,$C45)=0)+(COUNTIF(Lists!$A$2:$A$14,$D45)=0)+(COUNTIF(Lists!$A$2:$A$14,$E45)=0)+(COUNTIF(Lists!$A$2:$A$14,$F45)=0)+(COUNTIF(Lists!$A$2:$A$14,$G45)=0)+(COUNTIF(Lists!$A$2:$A$14,$H45)=0))&gt;0,"⚠ Unknown workout name — pick from the dropdown","✓")))),"⚠ Check this row")</f>
      </c>
    </row>
    <row r="46" spans="1:9" x14ac:dyDescent="0.25">
      <c r="A46" s="20">
        <v>41</v>
      </c>
      <c r="B46" s="17"/>
      <c r="C46" s="17"/>
      <c r="D46" s="17"/>
      <c r="E46" s="17"/>
      <c r="F46" s="17"/>
      <c r="G46" s="17"/>
      <c r="H46" s="17"/>
      <c r="I46" s="18">
        <f>IFERROR(IF($O$1&lt;&gt;"FILL","",IF($A46&gt;$P$1,IF(COUNTA($B46:$H46)&gt;0,"⚠ Past the program length — clear it or raise question 5",""),IF(COUNTA($B46:$H46)&lt;7,"⚠ Fill all 7 days (use REST for rest days)",IF(((COUNTIF(Lists!$A$2:$A$14,$B46)=0)+(COUNTIF(Lists!$A$2:$A$14,$C46)=0)+(COUNTIF(Lists!$A$2:$A$14,$D46)=0)+(COUNTIF(Lists!$A$2:$A$14,$E46)=0)+(COUNTIF(Lists!$A$2:$A$14,$F46)=0)+(COUNTIF(Lists!$A$2:$A$14,$G46)=0)+(COUNTIF(Lists!$A$2:$A$14,$H46)=0))&gt;0,"⚠ Unknown workout name — pick from the dropdown","✓")))),"⚠ Check this row")</f>
      </c>
    </row>
    <row r="47" spans="1:9" x14ac:dyDescent="0.25">
      <c r="A47" s="20">
        <v>42</v>
      </c>
      <c r="B47" s="17"/>
      <c r="C47" s="17"/>
      <c r="D47" s="17"/>
      <c r="E47" s="17"/>
      <c r="F47" s="17"/>
      <c r="G47" s="17"/>
      <c r="H47" s="17"/>
      <c r="I47" s="18">
        <f>IFERROR(IF($O$1&lt;&gt;"FILL","",IF($A47&gt;$P$1,IF(COUNTA($B47:$H47)&gt;0,"⚠ Past the program length — clear it or raise question 5",""),IF(COUNTA($B47:$H47)&lt;7,"⚠ Fill all 7 days (use REST for rest days)",IF(((COUNTIF(Lists!$A$2:$A$14,$B47)=0)+(COUNTIF(Lists!$A$2:$A$14,$C47)=0)+(COUNTIF(Lists!$A$2:$A$14,$D47)=0)+(COUNTIF(Lists!$A$2:$A$14,$E47)=0)+(COUNTIF(Lists!$A$2:$A$14,$F47)=0)+(COUNTIF(Lists!$A$2:$A$14,$G47)=0)+(COUNTIF(Lists!$A$2:$A$14,$H47)=0))&gt;0,"⚠ Unknown workout name — pick from the dropdown","✓")))),"⚠ Check this row")</f>
      </c>
    </row>
    <row r="48" spans="1:9" x14ac:dyDescent="0.25">
      <c r="A48" s="20">
        <v>43</v>
      </c>
      <c r="B48" s="17"/>
      <c r="C48" s="17"/>
      <c r="D48" s="17"/>
      <c r="E48" s="17"/>
      <c r="F48" s="17"/>
      <c r="G48" s="17"/>
      <c r="H48" s="17"/>
      <c r="I48" s="18">
        <f>IFERROR(IF($O$1&lt;&gt;"FILL","",IF($A48&gt;$P$1,IF(COUNTA($B48:$H48)&gt;0,"⚠ Past the program length — clear it or raise question 5",""),IF(COUNTA($B48:$H48)&lt;7,"⚠ Fill all 7 days (use REST for rest days)",IF(((COUNTIF(Lists!$A$2:$A$14,$B48)=0)+(COUNTIF(Lists!$A$2:$A$14,$C48)=0)+(COUNTIF(Lists!$A$2:$A$14,$D48)=0)+(COUNTIF(Lists!$A$2:$A$14,$E48)=0)+(COUNTIF(Lists!$A$2:$A$14,$F48)=0)+(COUNTIF(Lists!$A$2:$A$14,$G48)=0)+(COUNTIF(Lists!$A$2:$A$14,$H48)=0))&gt;0,"⚠ Unknown workout name — pick from the dropdown","✓")))),"⚠ Check this row")</f>
      </c>
    </row>
    <row r="49" spans="1:9" x14ac:dyDescent="0.25">
      <c r="A49" s="20">
        <v>44</v>
      </c>
      <c r="B49" s="17"/>
      <c r="C49" s="17"/>
      <c r="D49" s="17"/>
      <c r="E49" s="17"/>
      <c r="F49" s="17"/>
      <c r="G49" s="17"/>
      <c r="H49" s="17"/>
      <c r="I49" s="18">
        <f>IFERROR(IF($O$1&lt;&gt;"FILL","",IF($A49&gt;$P$1,IF(COUNTA($B49:$H49)&gt;0,"⚠ Past the program length — clear it or raise question 5",""),IF(COUNTA($B49:$H49)&lt;7,"⚠ Fill all 7 days (use REST for rest days)",IF(((COUNTIF(Lists!$A$2:$A$14,$B49)=0)+(COUNTIF(Lists!$A$2:$A$14,$C49)=0)+(COUNTIF(Lists!$A$2:$A$14,$D49)=0)+(COUNTIF(Lists!$A$2:$A$14,$E49)=0)+(COUNTIF(Lists!$A$2:$A$14,$F49)=0)+(COUNTIF(Lists!$A$2:$A$14,$G49)=0)+(COUNTIF(Lists!$A$2:$A$14,$H49)=0))&gt;0,"⚠ Unknown workout name — pick from the dropdown","✓")))),"⚠ Check this row")</f>
      </c>
    </row>
    <row r="50" spans="1:9" x14ac:dyDescent="0.25">
      <c r="A50" s="20">
        <v>45</v>
      </c>
      <c r="B50" s="17"/>
      <c r="C50" s="17"/>
      <c r="D50" s="17"/>
      <c r="E50" s="17"/>
      <c r="F50" s="17"/>
      <c r="G50" s="17"/>
      <c r="H50" s="17"/>
      <c r="I50" s="18">
        <f>IFERROR(IF($O$1&lt;&gt;"FILL","",IF($A50&gt;$P$1,IF(COUNTA($B50:$H50)&gt;0,"⚠ Past the program length — clear it or raise question 5",""),IF(COUNTA($B50:$H50)&lt;7,"⚠ Fill all 7 days (use REST for rest days)",IF(((COUNTIF(Lists!$A$2:$A$14,$B50)=0)+(COUNTIF(Lists!$A$2:$A$14,$C50)=0)+(COUNTIF(Lists!$A$2:$A$14,$D50)=0)+(COUNTIF(Lists!$A$2:$A$14,$E50)=0)+(COUNTIF(Lists!$A$2:$A$14,$F50)=0)+(COUNTIF(Lists!$A$2:$A$14,$G50)=0)+(COUNTIF(Lists!$A$2:$A$14,$H50)=0))&gt;0,"⚠ Unknown workout name — pick from the dropdown","✓")))),"⚠ Check this row")</f>
      </c>
    </row>
    <row r="51" spans="1:9" x14ac:dyDescent="0.25">
      <c r="A51" s="20">
        <v>46</v>
      </c>
      <c r="B51" s="17"/>
      <c r="C51" s="17"/>
      <c r="D51" s="17"/>
      <c r="E51" s="17"/>
      <c r="F51" s="17"/>
      <c r="G51" s="17"/>
      <c r="H51" s="17"/>
      <c r="I51" s="18">
        <f>IFERROR(IF($O$1&lt;&gt;"FILL","",IF($A51&gt;$P$1,IF(COUNTA($B51:$H51)&gt;0,"⚠ Past the program length — clear it or raise question 5",""),IF(COUNTA($B51:$H51)&lt;7,"⚠ Fill all 7 days (use REST for rest days)",IF(((COUNTIF(Lists!$A$2:$A$14,$B51)=0)+(COUNTIF(Lists!$A$2:$A$14,$C51)=0)+(COUNTIF(Lists!$A$2:$A$14,$D51)=0)+(COUNTIF(Lists!$A$2:$A$14,$E51)=0)+(COUNTIF(Lists!$A$2:$A$14,$F51)=0)+(COUNTIF(Lists!$A$2:$A$14,$G51)=0)+(COUNTIF(Lists!$A$2:$A$14,$H51)=0))&gt;0,"⚠ Unknown workout name — pick from the dropdown","✓")))),"⚠ Check this row")</f>
      </c>
    </row>
    <row r="52" spans="1:9" x14ac:dyDescent="0.25">
      <c r="A52" s="20">
        <v>47</v>
      </c>
      <c r="B52" s="17"/>
      <c r="C52" s="17"/>
      <c r="D52" s="17"/>
      <c r="E52" s="17"/>
      <c r="F52" s="17"/>
      <c r="G52" s="17"/>
      <c r="H52" s="17"/>
      <c r="I52" s="18">
        <f>IFERROR(IF($O$1&lt;&gt;"FILL","",IF($A52&gt;$P$1,IF(COUNTA($B52:$H52)&gt;0,"⚠ Past the program length — clear it or raise question 5",""),IF(COUNTA($B52:$H52)&lt;7,"⚠ Fill all 7 days (use REST for rest days)",IF(((COUNTIF(Lists!$A$2:$A$14,$B52)=0)+(COUNTIF(Lists!$A$2:$A$14,$C52)=0)+(COUNTIF(Lists!$A$2:$A$14,$D52)=0)+(COUNTIF(Lists!$A$2:$A$14,$E52)=0)+(COUNTIF(Lists!$A$2:$A$14,$F52)=0)+(COUNTIF(Lists!$A$2:$A$14,$G52)=0)+(COUNTIF(Lists!$A$2:$A$14,$H52)=0))&gt;0,"⚠ Unknown workout name — pick from the dropdown","✓")))),"⚠ Check this row")</f>
      </c>
    </row>
    <row r="53" spans="1:9" x14ac:dyDescent="0.25">
      <c r="A53" s="20">
        <v>48</v>
      </c>
      <c r="B53" s="17"/>
      <c r="C53" s="17"/>
      <c r="D53" s="17"/>
      <c r="E53" s="17"/>
      <c r="F53" s="17"/>
      <c r="G53" s="17"/>
      <c r="H53" s="17"/>
      <c r="I53" s="18">
        <f>IFERROR(IF($O$1&lt;&gt;"FILL","",IF($A53&gt;$P$1,IF(COUNTA($B53:$H53)&gt;0,"⚠ Past the program length — clear it or raise question 5",""),IF(COUNTA($B53:$H53)&lt;7,"⚠ Fill all 7 days (use REST for rest days)",IF(((COUNTIF(Lists!$A$2:$A$14,$B53)=0)+(COUNTIF(Lists!$A$2:$A$14,$C53)=0)+(COUNTIF(Lists!$A$2:$A$14,$D53)=0)+(COUNTIF(Lists!$A$2:$A$14,$E53)=0)+(COUNTIF(Lists!$A$2:$A$14,$F53)=0)+(COUNTIF(Lists!$A$2:$A$14,$G53)=0)+(COUNTIF(Lists!$A$2:$A$14,$H53)=0))&gt;0,"⚠ Unknown workout name — pick from the dropdown","✓")))),"⚠ Check this row")</f>
      </c>
    </row>
    <row r="54" spans="1:9" x14ac:dyDescent="0.25">
      <c r="A54" s="20">
        <v>49</v>
      </c>
      <c r="B54" s="17"/>
      <c r="C54" s="17"/>
      <c r="D54" s="17"/>
      <c r="E54" s="17"/>
      <c r="F54" s="17"/>
      <c r="G54" s="17"/>
      <c r="H54" s="17"/>
      <c r="I54" s="18">
        <f>IFERROR(IF($O$1&lt;&gt;"FILL","",IF($A54&gt;$P$1,IF(COUNTA($B54:$H54)&gt;0,"⚠ Past the program length — clear it or raise question 5",""),IF(COUNTA($B54:$H54)&lt;7,"⚠ Fill all 7 days (use REST for rest days)",IF(((COUNTIF(Lists!$A$2:$A$14,$B54)=0)+(COUNTIF(Lists!$A$2:$A$14,$C54)=0)+(COUNTIF(Lists!$A$2:$A$14,$D54)=0)+(COUNTIF(Lists!$A$2:$A$14,$E54)=0)+(COUNTIF(Lists!$A$2:$A$14,$F54)=0)+(COUNTIF(Lists!$A$2:$A$14,$G54)=0)+(COUNTIF(Lists!$A$2:$A$14,$H54)=0))&gt;0,"⚠ Unknown workout name — pick from the dropdown","✓")))),"⚠ Check this row")</f>
      </c>
    </row>
    <row r="55" spans="1:9" x14ac:dyDescent="0.25">
      <c r="A55" s="20">
        <v>50</v>
      </c>
      <c r="B55" s="17"/>
      <c r="C55" s="17"/>
      <c r="D55" s="17"/>
      <c r="E55" s="17"/>
      <c r="F55" s="17"/>
      <c r="G55" s="17"/>
      <c r="H55" s="17"/>
      <c r="I55" s="18">
        <f>IFERROR(IF($O$1&lt;&gt;"FILL","",IF($A55&gt;$P$1,IF(COUNTA($B55:$H55)&gt;0,"⚠ Past the program length — clear it or raise question 5",""),IF(COUNTA($B55:$H55)&lt;7,"⚠ Fill all 7 days (use REST for rest days)",IF(((COUNTIF(Lists!$A$2:$A$14,$B55)=0)+(COUNTIF(Lists!$A$2:$A$14,$C55)=0)+(COUNTIF(Lists!$A$2:$A$14,$D55)=0)+(COUNTIF(Lists!$A$2:$A$14,$E55)=0)+(COUNTIF(Lists!$A$2:$A$14,$F55)=0)+(COUNTIF(Lists!$A$2:$A$14,$G55)=0)+(COUNTIF(Lists!$A$2:$A$14,$H55)=0))&gt;0,"⚠ Unknown workout name — pick from the dropdown","✓")))),"⚠ Check this row")</f>
      </c>
    </row>
    <row r="56" spans="1:9" x14ac:dyDescent="0.25">
      <c r="A56" s="20">
        <v>51</v>
      </c>
      <c r="B56" s="17"/>
      <c r="C56" s="17"/>
      <c r="D56" s="17"/>
      <c r="E56" s="17"/>
      <c r="F56" s="17"/>
      <c r="G56" s="17"/>
      <c r="H56" s="17"/>
      <c r="I56" s="18">
        <f>IFERROR(IF($O$1&lt;&gt;"FILL","",IF($A56&gt;$P$1,IF(COUNTA($B56:$H56)&gt;0,"⚠ Past the program length — clear it or raise question 5",""),IF(COUNTA($B56:$H56)&lt;7,"⚠ Fill all 7 days (use REST for rest days)",IF(((COUNTIF(Lists!$A$2:$A$14,$B56)=0)+(COUNTIF(Lists!$A$2:$A$14,$C56)=0)+(COUNTIF(Lists!$A$2:$A$14,$D56)=0)+(COUNTIF(Lists!$A$2:$A$14,$E56)=0)+(COUNTIF(Lists!$A$2:$A$14,$F56)=0)+(COUNTIF(Lists!$A$2:$A$14,$G56)=0)+(COUNTIF(Lists!$A$2:$A$14,$H56)=0))&gt;0,"⚠ Unknown workout name — pick from the dropdown","✓")))),"⚠ Check this row")</f>
      </c>
    </row>
    <row r="57" spans="1:9" x14ac:dyDescent="0.25">
      <c r="A57" s="20">
        <v>52</v>
      </c>
      <c r="B57" s="17"/>
      <c r="C57" s="17"/>
      <c r="D57" s="17"/>
      <c r="E57" s="17"/>
      <c r="F57" s="17"/>
      <c r="G57" s="17"/>
      <c r="H57" s="17"/>
      <c r="I57" s="18">
        <f>IFERROR(IF($O$1&lt;&gt;"FILL","",IF($A57&gt;$P$1,IF(COUNTA($B57:$H57)&gt;0,"⚠ Past the program length — clear it or raise question 5",""),IF(COUNTA($B57:$H57)&lt;7,"⚠ Fill all 7 days (use REST for rest days)",IF(((COUNTIF(Lists!$A$2:$A$14,$B57)=0)+(COUNTIF(Lists!$A$2:$A$14,$C57)=0)+(COUNTIF(Lists!$A$2:$A$14,$D57)=0)+(COUNTIF(Lists!$A$2:$A$14,$E57)=0)+(COUNTIF(Lists!$A$2:$A$14,$F57)=0)+(COUNTIF(Lists!$A$2:$A$14,$G57)=0)+(COUNTIF(Lists!$A$2:$A$14,$H57)=0))&gt;0,"⚠ Unknown workout name — pick from the dropdown","✓")))),"⚠ Check this row")</f>
      </c>
    </row>
  </sheetData>
  <mergeCells count="2">
    <mergeCell ref="A1:I1"/>
    <mergeCell ref="A3:I3"/>
  </mergeCells>
  <conditionalFormatting sqref="A1:I1">
    <cfRule type="expression" dxfId="93" priority="1">
      <formula>$O$1="FILL"</formula>
    </cfRule>
    <cfRule type="expression" dxfId="94" priority="2">
      <formula>$O$1="SKIP"</formula>
    </cfRule>
    <cfRule type="expression" dxfId="95" priority="3">
      <formula>$O$1=""</formula>
    </cfRule>
  </conditionalFormatting>
  <conditionalFormatting sqref="A6:H57">
    <cfRule type="expression" dxfId="96" priority="1">
      <formula>OR($O$1&lt;&gt;"FILL",$A6&gt;$P$1)</formula>
    </cfRule>
    <cfRule type="expression" dxfId="97" priority="2">
      <formula>A6="REST"</formula>
    </cfRule>
  </conditionalFormatting>
  <conditionalFormatting sqref="I6:I57">
    <cfRule type="expression" dxfId="98" priority="1">
      <formula>LEFT(I6,1)="⚠"</formula>
    </cfRule>
    <cfRule type="expression" dxfId="99" priority="2">
      <formula>LEFT(I6,1)="✓"</formula>
    </cfRule>
  </conditionalFormatting>
  <dataValidations count="1">
    <dataValidation type="list" allowBlank="1" showErrorMessage="1" errorStyle="stop" errorTitle="Pick from the list" error="Choose one of the options in the dropdown." sqref="B6:H57">
      <formula1>Lists!$A$2:$A$14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D3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4" customWidth="1"/>
    <col min="3" max="3" width="16" customWidth="1"/>
    <col min="4" max="4" width="12" customWidth="1"/>
  </cols>
  <sheetData>
    <row r="1" ht="32" customHeight="1" spans="1:4" x14ac:dyDescent="0.25">
      <c r="A1" s="7" t="s">
        <v>67</v>
      </c>
      <c r="B1" s="7" t="s">
        <v>68</v>
      </c>
      <c r="C1" s="7" t="s">
        <v>69</v>
      </c>
      <c r="D1" s="7" t="s">
        <v>70</v>
      </c>
    </row>
    <row r="2" spans="1:4" s="21" customFormat="1" x14ac:dyDescent="0.25">
      <c r="A2" s="21">
        <v>410</v>
      </c>
      <c r="B2" s="21" t="s">
        <v>71</v>
      </c>
      <c r="C2" s="21" t="s">
        <v>72</v>
      </c>
      <c r="D2" s="21" t="s">
        <v>73</v>
      </c>
    </row>
    <row r="3" spans="1:4" s="21" customFormat="1" x14ac:dyDescent="0.25">
      <c r="A3" s="21">
        <v>671</v>
      </c>
      <c r="B3" s="21" t="s">
        <v>74</v>
      </c>
      <c r="C3" s="21" t="s">
        <v>75</v>
      </c>
      <c r="D3" s="21" t="s">
        <v>73</v>
      </c>
    </row>
    <row r="4" spans="1:4" s="21" customFormat="1" x14ac:dyDescent="0.25">
      <c r="A4" s="21">
        <v>409</v>
      </c>
      <c r="B4" s="21" t="s">
        <v>76</v>
      </c>
      <c r="C4" s="21" t="s">
        <v>75</v>
      </c>
      <c r="D4" s="21" t="s">
        <v>73</v>
      </c>
    </row>
    <row r="5" spans="1:4" s="21" customFormat="1" x14ac:dyDescent="0.25">
      <c r="A5" s="21">
        <v>332</v>
      </c>
      <c r="B5" s="21" t="s">
        <v>77</v>
      </c>
      <c r="C5" s="21" t="s">
        <v>78</v>
      </c>
      <c r="D5" s="21" t="s">
        <v>73</v>
      </c>
    </row>
    <row r="6" spans="1:4" s="21" customFormat="1" x14ac:dyDescent="0.25">
      <c r="A6" s="21">
        <v>118</v>
      </c>
      <c r="B6" s="21" t="s">
        <v>79</v>
      </c>
      <c r="C6" s="21" t="s">
        <v>78</v>
      </c>
      <c r="D6" s="21" t="s">
        <v>73</v>
      </c>
    </row>
    <row r="7" spans="1:4" s="21" customFormat="1" x14ac:dyDescent="0.25">
      <c r="A7" s="21">
        <v>678</v>
      </c>
      <c r="B7" s="21" t="s">
        <v>80</v>
      </c>
      <c r="C7" s="21" t="s">
        <v>81</v>
      </c>
      <c r="D7" s="21" t="s">
        <v>73</v>
      </c>
    </row>
    <row r="8" spans="1:4" s="21" customFormat="1" x14ac:dyDescent="0.25">
      <c r="A8" s="21">
        <v>653</v>
      </c>
      <c r="B8" s="21" t="s">
        <v>82</v>
      </c>
      <c r="C8" s="21" t="s">
        <v>83</v>
      </c>
      <c r="D8" s="21" t="s">
        <v>73</v>
      </c>
    </row>
    <row r="9" spans="1:4" s="21" customFormat="1" x14ac:dyDescent="0.25">
      <c r="A9" s="21">
        <v>642</v>
      </c>
      <c r="B9" s="21" t="s">
        <v>84</v>
      </c>
      <c r="C9" s="21" t="s">
        <v>72</v>
      </c>
      <c r="D9" s="21" t="s">
        <v>73</v>
      </c>
    </row>
    <row r="10" spans="1:4" s="21" customFormat="1" x14ac:dyDescent="0.25">
      <c r="A10" s="21">
        <v>144</v>
      </c>
      <c r="B10" s="21" t="s">
        <v>85</v>
      </c>
      <c r="C10" s="21" t="s">
        <v>72</v>
      </c>
      <c r="D10" s="21" t="s">
        <v>73</v>
      </c>
    </row>
    <row r="11" spans="1:4" s="21" customFormat="1" x14ac:dyDescent="0.25">
      <c r="A11" s="21">
        <v>178</v>
      </c>
      <c r="B11" s="21" t="s">
        <v>86</v>
      </c>
      <c r="C11" s="21" t="s">
        <v>87</v>
      </c>
      <c r="D11" s="21" t="s">
        <v>73</v>
      </c>
    </row>
    <row r="12" spans="1:4" s="21" customFormat="1" x14ac:dyDescent="0.25">
      <c r="A12" s="21">
        <v>463</v>
      </c>
      <c r="B12" s="21" t="s">
        <v>88</v>
      </c>
      <c r="C12" s="21" t="s">
        <v>89</v>
      </c>
      <c r="D12" s="21" t="s">
        <v>73</v>
      </c>
    </row>
    <row r="13" spans="1:4" s="21" customFormat="1" x14ac:dyDescent="0.25">
      <c r="A13" s="21">
        <v>487</v>
      </c>
      <c r="B13" s="21" t="s">
        <v>90</v>
      </c>
      <c r="C13" s="21" t="s">
        <v>72</v>
      </c>
      <c r="D13" s="21" t="s">
        <v>73</v>
      </c>
    </row>
    <row r="14" spans="1:4" s="21" customFormat="1" x14ac:dyDescent="0.25">
      <c r="A14" s="21">
        <v>509</v>
      </c>
      <c r="B14" s="21" t="s">
        <v>91</v>
      </c>
      <c r="C14" s="21" t="s">
        <v>92</v>
      </c>
      <c r="D14" s="21" t="s">
        <v>73</v>
      </c>
    </row>
    <row r="15" spans="1:4" s="21" customFormat="1" x14ac:dyDescent="0.25">
      <c r="A15" s="21">
        <v>524</v>
      </c>
      <c r="B15" s="21" t="s">
        <v>93</v>
      </c>
      <c r="C15" s="21" t="s">
        <v>78</v>
      </c>
      <c r="D15" s="21" t="s">
        <v>73</v>
      </c>
    </row>
    <row r="16" spans="1:4" s="21" customFormat="1" x14ac:dyDescent="0.25">
      <c r="A16" s="21">
        <v>536</v>
      </c>
      <c r="B16" s="21" t="s">
        <v>94</v>
      </c>
      <c r="C16" s="21" t="s">
        <v>83</v>
      </c>
      <c r="D16" s="21" t="s">
        <v>73</v>
      </c>
    </row>
    <row r="17" spans="1:4" s="21" customFormat="1" x14ac:dyDescent="0.25">
      <c r="A17" s="21">
        <v>216</v>
      </c>
      <c r="B17" s="21" t="s">
        <v>95</v>
      </c>
      <c r="C17" s="21" t="s">
        <v>96</v>
      </c>
      <c r="D17" s="21" t="s">
        <v>73</v>
      </c>
    </row>
    <row r="18" spans="1:4" s="21" customFormat="1" x14ac:dyDescent="0.25">
      <c r="A18" s="21">
        <v>555</v>
      </c>
      <c r="B18" s="21" t="s">
        <v>97</v>
      </c>
      <c r="C18" s="21" t="s">
        <v>96</v>
      </c>
      <c r="D18" s="21" t="s">
        <v>73</v>
      </c>
    </row>
    <row r="19" spans="1:4" s="21" customFormat="1" x14ac:dyDescent="0.25">
      <c r="A19" s="21">
        <v>552</v>
      </c>
      <c r="B19" s="21" t="s">
        <v>98</v>
      </c>
      <c r="C19" s="21" t="s">
        <v>96</v>
      </c>
      <c r="D19" s="21" t="s">
        <v>73</v>
      </c>
    </row>
    <row r="20" spans="1:4" s="21" customFormat="1" x14ac:dyDescent="0.25">
      <c r="A20" s="21">
        <v>563</v>
      </c>
      <c r="B20" s="21" t="s">
        <v>99</v>
      </c>
      <c r="C20" s="21" t="s">
        <v>96</v>
      </c>
      <c r="D20" s="21" t="s">
        <v>73</v>
      </c>
    </row>
    <row r="21" spans="1:4" s="21" customFormat="1" x14ac:dyDescent="0.25">
      <c r="A21" s="21">
        <v>550</v>
      </c>
      <c r="B21" s="21" t="s">
        <v>100</v>
      </c>
      <c r="C21" s="21" t="s">
        <v>96</v>
      </c>
      <c r="D21" s="21" t="s">
        <v>73</v>
      </c>
    </row>
    <row r="22" spans="1:4" s="21" customFormat="1" x14ac:dyDescent="0.25">
      <c r="A22" s="21">
        <v>571</v>
      </c>
      <c r="B22" s="21" t="s">
        <v>101</v>
      </c>
      <c r="C22" s="21" t="s">
        <v>96</v>
      </c>
      <c r="D22" s="21" t="s">
        <v>73</v>
      </c>
    </row>
    <row r="23" spans="1:4" s="21" customFormat="1" x14ac:dyDescent="0.25">
      <c r="A23" s="21">
        <v>566</v>
      </c>
      <c r="B23" s="21" t="s">
        <v>102</v>
      </c>
      <c r="C23" s="21" t="s">
        <v>96</v>
      </c>
      <c r="D23" s="21" t="s">
        <v>73</v>
      </c>
    </row>
    <row r="24" spans="1:4" s="21" customFormat="1" x14ac:dyDescent="0.25">
      <c r="A24" s="21">
        <v>255</v>
      </c>
      <c r="B24" s="21" t="s">
        <v>103</v>
      </c>
      <c r="C24" s="21" t="s">
        <v>83</v>
      </c>
      <c r="D24" s="21" t="s">
        <v>73</v>
      </c>
    </row>
    <row r="25" spans="1:4" s="21" customFormat="1" x14ac:dyDescent="0.25">
      <c r="A25" s="21">
        <v>277</v>
      </c>
      <c r="B25" s="21" t="s">
        <v>104</v>
      </c>
      <c r="C25" s="21" t="s">
        <v>78</v>
      </c>
      <c r="D25" s="21" t="s">
        <v>73</v>
      </c>
    </row>
    <row r="26" spans="1:4" s="21" customFormat="1" x14ac:dyDescent="0.25">
      <c r="A26" s="21">
        <v>558</v>
      </c>
      <c r="B26" s="21" t="s">
        <v>105</v>
      </c>
      <c r="C26" s="21" t="s">
        <v>96</v>
      </c>
      <c r="D26" s="21" t="s">
        <v>73</v>
      </c>
    </row>
    <row r="27" spans="1:4" s="21" customFormat="1" x14ac:dyDescent="0.25">
      <c r="A27" s="21">
        <v>465</v>
      </c>
      <c r="B27" s="21" t="s">
        <v>106</v>
      </c>
      <c r="C27" s="21" t="s">
        <v>78</v>
      </c>
      <c r="D27" s="21" t="s">
        <v>73</v>
      </c>
    </row>
    <row r="28" spans="1:4" s="21" customFormat="1" x14ac:dyDescent="0.25">
      <c r="A28" s="21">
        <v>101</v>
      </c>
      <c r="B28" s="21" t="s">
        <v>107</v>
      </c>
      <c r="C28" s="21" t="s">
        <v>92</v>
      </c>
      <c r="D28" s="21" t="s">
        <v>73</v>
      </c>
    </row>
    <row r="29" spans="1:4" s="21" customFormat="1" x14ac:dyDescent="0.25">
      <c r="A29" s="21">
        <v>336</v>
      </c>
      <c r="B29" s="21" t="s">
        <v>108</v>
      </c>
      <c r="C29" s="21" t="s">
        <v>72</v>
      </c>
      <c r="D29" s="21" t="s">
        <v>73</v>
      </c>
    </row>
    <row r="30" spans="1:4" s="21" customFormat="1" x14ac:dyDescent="0.25">
      <c r="A30" s="21">
        <v>150</v>
      </c>
      <c r="B30" s="21" t="s">
        <v>109</v>
      </c>
      <c r="C30" s="21" t="s">
        <v>89</v>
      </c>
      <c r="D30" s="21" t="s">
        <v>73</v>
      </c>
    </row>
    <row r="31" spans="1:4" s="21" customFormat="1" x14ac:dyDescent="0.25">
      <c r="A31" s="21">
        <v>440</v>
      </c>
      <c r="B31" s="21" t="s">
        <v>110</v>
      </c>
      <c r="C31" s="21" t="s">
        <v>83</v>
      </c>
      <c r="D31" s="21" t="s">
        <v>73</v>
      </c>
    </row>
    <row r="32" spans="1:4" s="21" customFormat="1" x14ac:dyDescent="0.25">
      <c r="A32" s="21">
        <v>350</v>
      </c>
      <c r="B32" s="21" t="s">
        <v>111</v>
      </c>
      <c r="C32" s="21" t="s">
        <v>78</v>
      </c>
      <c r="D32" s="21" t="s">
        <v>73</v>
      </c>
    </row>
    <row r="33" spans="1:4" s="21" customFormat="1" x14ac:dyDescent="0.25">
      <c r="A33" s="21">
        <v>205</v>
      </c>
      <c r="B33" s="21" t="s">
        <v>112</v>
      </c>
      <c r="C33" s="21" t="s">
        <v>96</v>
      </c>
      <c r="D33" s="21" t="s">
        <v>73</v>
      </c>
    </row>
    <row r="34" spans="1:4" s="21" customFormat="1" x14ac:dyDescent="0.25">
      <c r="A34" s="21">
        <v>219</v>
      </c>
      <c r="B34" s="21" t="s">
        <v>113</v>
      </c>
      <c r="C34" s="21" t="s">
        <v>87</v>
      </c>
      <c r="D34" s="21" t="s">
        <v>73</v>
      </c>
    </row>
    <row r="35" spans="1:4" s="21" customFormat="1" x14ac:dyDescent="0.25">
      <c r="A35" s="21">
        <v>339</v>
      </c>
      <c r="B35" s="21" t="s">
        <v>114</v>
      </c>
      <c r="C35" s="21" t="s">
        <v>89</v>
      </c>
      <c r="D35" s="21" t="s">
        <v>73</v>
      </c>
    </row>
    <row r="36" spans="1:4" s="21" customFormat="1" x14ac:dyDescent="0.25">
      <c r="A36" s="21">
        <v>551</v>
      </c>
      <c r="B36" s="21" t="s">
        <v>115</v>
      </c>
      <c r="C36" s="21" t="s">
        <v>116</v>
      </c>
      <c r="D36" s="21" t="s">
        <v>73</v>
      </c>
    </row>
    <row r="37" spans="1:4" s="21" customFormat="1" x14ac:dyDescent="0.25">
      <c r="A37" s="21">
        <v>331</v>
      </c>
      <c r="B37" s="21" t="s">
        <v>117</v>
      </c>
      <c r="C37" s="21" t="s">
        <v>78</v>
      </c>
      <c r="D37" s="21" t="s">
        <v>73</v>
      </c>
    </row>
    <row r="38" spans="1:4" s="21" customFormat="1" x14ac:dyDescent="0.25">
      <c r="A38" s="21">
        <v>338</v>
      </c>
      <c r="B38" s="21" t="s">
        <v>118</v>
      </c>
      <c r="C38" s="21" t="s">
        <v>119</v>
      </c>
      <c r="D38" s="21" t="s">
        <v>73</v>
      </c>
    </row>
    <row r="39" spans="1:4" s="21" customFormat="1" x14ac:dyDescent="0.25">
      <c r="A39" s="21">
        <v>557</v>
      </c>
      <c r="B39" s="21" t="s">
        <v>120</v>
      </c>
      <c r="C39" s="21" t="s">
        <v>96</v>
      </c>
      <c r="D39" s="21" t="s">
        <v>73</v>
      </c>
    </row>
    <row r="40" spans="1:4" s="21" customFormat="1" x14ac:dyDescent="0.25">
      <c r="A40" s="21">
        <v>341</v>
      </c>
      <c r="B40" s="21" t="s">
        <v>121</v>
      </c>
      <c r="C40" s="21" t="s">
        <v>122</v>
      </c>
      <c r="D40" s="21" t="s">
        <v>73</v>
      </c>
    </row>
    <row r="41" spans="1:4" s="21" customFormat="1" x14ac:dyDescent="0.25">
      <c r="A41" s="21">
        <v>249</v>
      </c>
      <c r="B41" s="21" t="s">
        <v>123</v>
      </c>
      <c r="C41" s="21" t="s">
        <v>81</v>
      </c>
      <c r="D41" s="21" t="s">
        <v>73</v>
      </c>
    </row>
    <row r="42" spans="1:4" s="21" customFormat="1" x14ac:dyDescent="0.25">
      <c r="A42" s="21">
        <v>614</v>
      </c>
      <c r="B42" s="21" t="s">
        <v>124</v>
      </c>
      <c r="C42" s="21" t="s">
        <v>89</v>
      </c>
      <c r="D42" s="21" t="s">
        <v>73</v>
      </c>
    </row>
    <row r="43" spans="1:4" s="21" customFormat="1" x14ac:dyDescent="0.25">
      <c r="A43" s="21">
        <v>367</v>
      </c>
      <c r="B43" s="21" t="s">
        <v>125</v>
      </c>
      <c r="C43" s="21" t="s">
        <v>122</v>
      </c>
      <c r="D43" s="21" t="s">
        <v>73</v>
      </c>
    </row>
    <row r="44" spans="1:4" s="21" customFormat="1" x14ac:dyDescent="0.25">
      <c r="A44" s="21">
        <v>376</v>
      </c>
      <c r="B44" s="21" t="s">
        <v>126</v>
      </c>
      <c r="C44" s="21" t="s">
        <v>72</v>
      </c>
      <c r="D44" s="21" t="s">
        <v>73</v>
      </c>
    </row>
    <row r="45" spans="1:4" s="21" customFormat="1" x14ac:dyDescent="0.25">
      <c r="A45" s="21">
        <v>611</v>
      </c>
      <c r="B45" s="21" t="s">
        <v>127</v>
      </c>
      <c r="C45" s="21" t="s">
        <v>87</v>
      </c>
      <c r="D45" s="21" t="s">
        <v>73</v>
      </c>
    </row>
    <row r="46" spans="1:4" s="21" customFormat="1" x14ac:dyDescent="0.25">
      <c r="A46" s="21">
        <v>389</v>
      </c>
      <c r="B46" s="21" t="s">
        <v>128</v>
      </c>
      <c r="C46" s="21" t="s">
        <v>83</v>
      </c>
      <c r="D46" s="21" t="s">
        <v>73</v>
      </c>
    </row>
    <row r="47" spans="1:4" s="21" customFormat="1" x14ac:dyDescent="0.25">
      <c r="A47" s="21">
        <v>423</v>
      </c>
      <c r="B47" s="21" t="s">
        <v>129</v>
      </c>
      <c r="C47" s="21" t="s">
        <v>75</v>
      </c>
      <c r="D47" s="21" t="s">
        <v>73</v>
      </c>
    </row>
    <row r="48" spans="1:4" s="21" customFormat="1" x14ac:dyDescent="0.25">
      <c r="A48" s="21">
        <v>672</v>
      </c>
      <c r="B48" s="21" t="s">
        <v>130</v>
      </c>
      <c r="C48" s="21" t="s">
        <v>75</v>
      </c>
      <c r="D48" s="21" t="s">
        <v>73</v>
      </c>
    </row>
    <row r="49" spans="1:4" s="21" customFormat="1" x14ac:dyDescent="0.25">
      <c r="A49" s="21">
        <v>501</v>
      </c>
      <c r="B49" s="21" t="s">
        <v>131</v>
      </c>
      <c r="C49" s="21" t="s">
        <v>83</v>
      </c>
      <c r="D49" s="21" t="s">
        <v>73</v>
      </c>
    </row>
    <row r="50" spans="1:4" s="21" customFormat="1" x14ac:dyDescent="0.25">
      <c r="A50" s="21">
        <v>192</v>
      </c>
      <c r="B50" s="21" t="s">
        <v>132</v>
      </c>
      <c r="C50" s="21" t="s">
        <v>81</v>
      </c>
      <c r="D50" s="21" t="s">
        <v>73</v>
      </c>
    </row>
    <row r="51" spans="1:4" s="21" customFormat="1" x14ac:dyDescent="0.25">
      <c r="A51" s="21">
        <v>610</v>
      </c>
      <c r="B51" s="21" t="s">
        <v>133</v>
      </c>
      <c r="C51" s="21" t="s">
        <v>87</v>
      </c>
      <c r="D51" s="21" t="s">
        <v>73</v>
      </c>
    </row>
    <row r="52" spans="1:4" s="21" customFormat="1" x14ac:dyDescent="0.25">
      <c r="A52" s="21">
        <v>188</v>
      </c>
      <c r="B52" s="21" t="s">
        <v>134</v>
      </c>
      <c r="C52" s="21" t="s">
        <v>87</v>
      </c>
      <c r="D52" s="21" t="s">
        <v>73</v>
      </c>
    </row>
    <row r="53" spans="1:4" s="21" customFormat="1" x14ac:dyDescent="0.25">
      <c r="A53" s="21">
        <v>544</v>
      </c>
      <c r="B53" s="21" t="s">
        <v>135</v>
      </c>
      <c r="C53" s="21" t="s">
        <v>81</v>
      </c>
      <c r="D53" s="21" t="s">
        <v>73</v>
      </c>
    </row>
    <row r="54" spans="1:4" s="21" customFormat="1" x14ac:dyDescent="0.25">
      <c r="A54" s="21">
        <v>312</v>
      </c>
      <c r="B54" s="21" t="s">
        <v>136</v>
      </c>
      <c r="C54" s="21" t="s">
        <v>92</v>
      </c>
      <c r="D54" s="21" t="s">
        <v>73</v>
      </c>
    </row>
    <row r="55" spans="1:4" s="21" customFormat="1" x14ac:dyDescent="0.25">
      <c r="A55" s="21">
        <v>262</v>
      </c>
      <c r="B55" s="21" t="s">
        <v>137</v>
      </c>
      <c r="C55" s="21" t="s">
        <v>92</v>
      </c>
      <c r="D55" s="21" t="s">
        <v>73</v>
      </c>
    </row>
    <row r="56" spans="1:4" s="21" customFormat="1" x14ac:dyDescent="0.25">
      <c r="A56" s="21">
        <v>407</v>
      </c>
      <c r="B56" s="21" t="s">
        <v>138</v>
      </c>
      <c r="C56" s="21" t="s">
        <v>92</v>
      </c>
      <c r="D56" s="21" t="s">
        <v>73</v>
      </c>
    </row>
    <row r="57" spans="1:4" s="21" customFormat="1" x14ac:dyDescent="0.25">
      <c r="A57" s="21">
        <v>344</v>
      </c>
      <c r="B57" s="21" t="s">
        <v>139</v>
      </c>
      <c r="C57" s="21" t="s">
        <v>92</v>
      </c>
      <c r="D57" s="21" t="s">
        <v>73</v>
      </c>
    </row>
    <row r="58" spans="1:4" s="21" customFormat="1" x14ac:dyDescent="0.25">
      <c r="A58" s="21">
        <v>368</v>
      </c>
      <c r="B58" s="21" t="s">
        <v>140</v>
      </c>
      <c r="C58" s="21" t="s">
        <v>92</v>
      </c>
      <c r="D58" s="21" t="s">
        <v>73</v>
      </c>
    </row>
    <row r="59" spans="1:4" s="21" customFormat="1" x14ac:dyDescent="0.25">
      <c r="A59" s="21">
        <v>238</v>
      </c>
      <c r="B59" s="21" t="s">
        <v>141</v>
      </c>
      <c r="C59" s="21" t="s">
        <v>75</v>
      </c>
      <c r="D59" s="21" t="s">
        <v>73</v>
      </c>
    </row>
    <row r="60" spans="1:4" s="21" customFormat="1" x14ac:dyDescent="0.25">
      <c r="A60" s="21">
        <v>160</v>
      </c>
      <c r="B60" s="21" t="s">
        <v>142</v>
      </c>
      <c r="C60" s="21" t="s">
        <v>89</v>
      </c>
      <c r="D60" s="21" t="s">
        <v>73</v>
      </c>
    </row>
    <row r="61" spans="1:4" s="21" customFormat="1" x14ac:dyDescent="0.25">
      <c r="A61" s="21">
        <v>374</v>
      </c>
      <c r="B61" s="21" t="s">
        <v>143</v>
      </c>
      <c r="C61" s="21" t="s">
        <v>78</v>
      </c>
      <c r="D61" s="21" t="s">
        <v>73</v>
      </c>
    </row>
    <row r="62" spans="1:4" s="21" customFormat="1" x14ac:dyDescent="0.25">
      <c r="A62" s="21">
        <v>210</v>
      </c>
      <c r="B62" s="21" t="s">
        <v>144</v>
      </c>
      <c r="C62" s="21" t="s">
        <v>96</v>
      </c>
      <c r="D62" s="21" t="s">
        <v>73</v>
      </c>
    </row>
    <row r="63" spans="1:4" s="21" customFormat="1" x14ac:dyDescent="0.25">
      <c r="A63" s="21">
        <v>233</v>
      </c>
      <c r="B63" s="21" t="s">
        <v>145</v>
      </c>
      <c r="C63" s="21" t="s">
        <v>96</v>
      </c>
      <c r="D63" s="21" t="s">
        <v>73</v>
      </c>
    </row>
    <row r="64" spans="1:4" s="21" customFormat="1" x14ac:dyDescent="0.25">
      <c r="A64" s="21">
        <v>234</v>
      </c>
      <c r="B64" s="21" t="s">
        <v>146</v>
      </c>
      <c r="C64" s="21" t="s">
        <v>147</v>
      </c>
      <c r="D64" s="21" t="s">
        <v>73</v>
      </c>
    </row>
    <row r="65" spans="1:4" s="21" customFormat="1" x14ac:dyDescent="0.25">
      <c r="A65" s="21">
        <v>122</v>
      </c>
      <c r="B65" s="21" t="s">
        <v>148</v>
      </c>
      <c r="C65" s="21" t="s">
        <v>78</v>
      </c>
      <c r="D65" s="21" t="s">
        <v>73</v>
      </c>
    </row>
    <row r="66" spans="1:4" s="21" customFormat="1" x14ac:dyDescent="0.25">
      <c r="A66" s="21">
        <v>203</v>
      </c>
      <c r="B66" s="21" t="s">
        <v>149</v>
      </c>
      <c r="C66" s="21" t="s">
        <v>116</v>
      </c>
      <c r="D66" s="21" t="s">
        <v>73</v>
      </c>
    </row>
    <row r="67" spans="1:4" s="21" customFormat="1" x14ac:dyDescent="0.25">
      <c r="A67" s="21">
        <v>429</v>
      </c>
      <c r="B67" s="21" t="s">
        <v>150</v>
      </c>
      <c r="C67" s="21" t="s">
        <v>78</v>
      </c>
      <c r="D67" s="21" t="s">
        <v>73</v>
      </c>
    </row>
    <row r="68" spans="1:4" s="21" customFormat="1" x14ac:dyDescent="0.25">
      <c r="A68" s="21">
        <v>425</v>
      </c>
      <c r="B68" s="21" t="s">
        <v>151</v>
      </c>
      <c r="C68" s="21" t="s">
        <v>72</v>
      </c>
      <c r="D68" s="21" t="s">
        <v>73</v>
      </c>
    </row>
    <row r="69" spans="1:4" s="21" customFormat="1" x14ac:dyDescent="0.25">
      <c r="A69" s="21">
        <v>149</v>
      </c>
      <c r="B69" s="21" t="s">
        <v>152</v>
      </c>
      <c r="C69" s="21" t="s">
        <v>119</v>
      </c>
      <c r="D69" s="21" t="s">
        <v>73</v>
      </c>
    </row>
    <row r="70" spans="1:4" s="21" customFormat="1" x14ac:dyDescent="0.25">
      <c r="A70" s="21">
        <v>354</v>
      </c>
      <c r="B70" s="21" t="s">
        <v>153</v>
      </c>
      <c r="C70" s="21" t="s">
        <v>72</v>
      </c>
      <c r="D70" s="21" t="s">
        <v>73</v>
      </c>
    </row>
    <row r="71" spans="1:4" s="21" customFormat="1" x14ac:dyDescent="0.25">
      <c r="A71" s="21">
        <v>395</v>
      </c>
      <c r="B71" s="21" t="s">
        <v>154</v>
      </c>
      <c r="C71" s="21" t="s">
        <v>83</v>
      </c>
      <c r="D71" s="21" t="s">
        <v>73</v>
      </c>
    </row>
    <row r="72" spans="1:4" s="21" customFormat="1" x14ac:dyDescent="0.25">
      <c r="A72" s="21">
        <v>167</v>
      </c>
      <c r="B72" s="21" t="s">
        <v>155</v>
      </c>
      <c r="C72" s="21" t="s">
        <v>83</v>
      </c>
      <c r="D72" s="21" t="s">
        <v>73</v>
      </c>
    </row>
    <row r="73" spans="1:4" s="21" customFormat="1" x14ac:dyDescent="0.25">
      <c r="A73" s="21">
        <v>422</v>
      </c>
      <c r="B73" s="21" t="s">
        <v>156</v>
      </c>
      <c r="C73" s="21" t="s">
        <v>83</v>
      </c>
      <c r="D73" s="21" t="s">
        <v>73</v>
      </c>
    </row>
    <row r="74" spans="1:4" s="21" customFormat="1" x14ac:dyDescent="0.25">
      <c r="A74" s="21">
        <v>373</v>
      </c>
      <c r="B74" s="21" t="s">
        <v>157</v>
      </c>
      <c r="C74" s="21" t="s">
        <v>75</v>
      </c>
      <c r="D74" s="21" t="s">
        <v>73</v>
      </c>
    </row>
    <row r="75" spans="1:4" s="21" customFormat="1" x14ac:dyDescent="0.25">
      <c r="A75" s="21">
        <v>687</v>
      </c>
      <c r="B75" s="21" t="s">
        <v>158</v>
      </c>
      <c r="C75" s="21" t="s">
        <v>122</v>
      </c>
      <c r="D75" s="21" t="s">
        <v>73</v>
      </c>
    </row>
    <row r="76" spans="1:4" s="21" customFormat="1" x14ac:dyDescent="0.25">
      <c r="A76" s="21">
        <v>646</v>
      </c>
      <c r="B76" s="21" t="s">
        <v>159</v>
      </c>
      <c r="C76" s="21" t="s">
        <v>78</v>
      </c>
      <c r="D76" s="21" t="s">
        <v>73</v>
      </c>
    </row>
    <row r="77" spans="1:4" s="21" customFormat="1" x14ac:dyDescent="0.25">
      <c r="A77" s="21">
        <v>109</v>
      </c>
      <c r="B77" s="21" t="s">
        <v>160</v>
      </c>
      <c r="C77" s="21" t="s">
        <v>92</v>
      </c>
      <c r="D77" s="21" t="s">
        <v>73</v>
      </c>
    </row>
    <row r="78" spans="1:4" s="21" customFormat="1" x14ac:dyDescent="0.25">
      <c r="A78" s="21">
        <v>606</v>
      </c>
      <c r="B78" s="21" t="s">
        <v>161</v>
      </c>
      <c r="C78" s="21" t="s">
        <v>72</v>
      </c>
      <c r="D78" s="21" t="s">
        <v>73</v>
      </c>
    </row>
    <row r="79" spans="1:4" s="21" customFormat="1" x14ac:dyDescent="0.25">
      <c r="A79" s="21">
        <v>444</v>
      </c>
      <c r="B79" s="21" t="s">
        <v>162</v>
      </c>
      <c r="C79" s="21" t="s">
        <v>72</v>
      </c>
      <c r="D79" s="21" t="s">
        <v>73</v>
      </c>
    </row>
    <row r="80" spans="1:4" s="21" customFormat="1" x14ac:dyDescent="0.25">
      <c r="A80" s="21">
        <v>512</v>
      </c>
      <c r="B80" s="21" t="s">
        <v>163</v>
      </c>
      <c r="C80" s="21" t="s">
        <v>89</v>
      </c>
      <c r="D80" s="21" t="s">
        <v>73</v>
      </c>
    </row>
    <row r="81" spans="1:4" s="21" customFormat="1" x14ac:dyDescent="0.25">
      <c r="A81" s="21">
        <v>135</v>
      </c>
      <c r="B81" s="21" t="s">
        <v>164</v>
      </c>
      <c r="C81" s="21" t="s">
        <v>72</v>
      </c>
      <c r="D81" s="21" t="s">
        <v>73</v>
      </c>
    </row>
    <row r="82" spans="1:4" s="21" customFormat="1" x14ac:dyDescent="0.25">
      <c r="A82" s="21">
        <v>467</v>
      </c>
      <c r="B82" s="21" t="s">
        <v>165</v>
      </c>
      <c r="C82" s="21" t="s">
        <v>78</v>
      </c>
      <c r="D82" s="21" t="s">
        <v>73</v>
      </c>
    </row>
    <row r="83" spans="1:4" s="21" customFormat="1" x14ac:dyDescent="0.25">
      <c r="A83" s="21">
        <v>521</v>
      </c>
      <c r="B83" s="21" t="s">
        <v>166</v>
      </c>
      <c r="C83" s="21" t="s">
        <v>75</v>
      </c>
      <c r="D83" s="21" t="s">
        <v>167</v>
      </c>
    </row>
    <row r="84" spans="1:4" s="21" customFormat="1" x14ac:dyDescent="0.25">
      <c r="A84" s="21">
        <v>114</v>
      </c>
      <c r="B84" s="21" t="s">
        <v>168</v>
      </c>
      <c r="C84" s="21" t="s">
        <v>92</v>
      </c>
      <c r="D84" s="21" t="s">
        <v>73</v>
      </c>
    </row>
    <row r="85" spans="1:4" s="21" customFormat="1" x14ac:dyDescent="0.25">
      <c r="A85" s="21">
        <v>583</v>
      </c>
      <c r="B85" s="21" t="s">
        <v>169</v>
      </c>
      <c r="C85" s="21" t="s">
        <v>83</v>
      </c>
      <c r="D85" s="21" t="s">
        <v>73</v>
      </c>
    </row>
    <row r="86" spans="1:4" s="21" customFormat="1" x14ac:dyDescent="0.25">
      <c r="A86" s="21">
        <v>113</v>
      </c>
      <c r="B86" s="21" t="s">
        <v>170</v>
      </c>
      <c r="C86" s="21" t="s">
        <v>92</v>
      </c>
      <c r="D86" s="21" t="s">
        <v>73</v>
      </c>
    </row>
    <row r="87" spans="1:4" s="21" customFormat="1" x14ac:dyDescent="0.25">
      <c r="A87" s="21">
        <v>439</v>
      </c>
      <c r="B87" s="21" t="s">
        <v>171</v>
      </c>
      <c r="C87" s="21" t="s">
        <v>83</v>
      </c>
      <c r="D87" s="21" t="s">
        <v>73</v>
      </c>
    </row>
    <row r="88" spans="1:4" s="21" customFormat="1" x14ac:dyDescent="0.25">
      <c r="A88" s="21">
        <v>163</v>
      </c>
      <c r="B88" s="21" t="s">
        <v>172</v>
      </c>
      <c r="C88" s="21" t="s">
        <v>89</v>
      </c>
      <c r="D88" s="21" t="s">
        <v>73</v>
      </c>
    </row>
    <row r="89" spans="1:4" s="21" customFormat="1" x14ac:dyDescent="0.25">
      <c r="A89" s="21">
        <v>657</v>
      </c>
      <c r="B89" s="21" t="s">
        <v>173</v>
      </c>
      <c r="C89" s="21" t="s">
        <v>87</v>
      </c>
      <c r="D89" s="21" t="s">
        <v>73</v>
      </c>
    </row>
    <row r="90" spans="1:4" s="21" customFormat="1" x14ac:dyDescent="0.25">
      <c r="A90" s="21">
        <v>649</v>
      </c>
      <c r="B90" s="21" t="s">
        <v>174</v>
      </c>
      <c r="C90" s="21" t="s">
        <v>89</v>
      </c>
      <c r="D90" s="21" t="s">
        <v>73</v>
      </c>
    </row>
    <row r="91" spans="1:4" s="21" customFormat="1" x14ac:dyDescent="0.25">
      <c r="A91" s="21">
        <v>630</v>
      </c>
      <c r="B91" s="21" t="s">
        <v>175</v>
      </c>
      <c r="C91" s="21" t="s">
        <v>92</v>
      </c>
      <c r="D91" s="21" t="s">
        <v>73</v>
      </c>
    </row>
    <row r="92" spans="1:4" s="21" customFormat="1" x14ac:dyDescent="0.25">
      <c r="A92" s="21">
        <v>348</v>
      </c>
      <c r="B92" s="21" t="s">
        <v>176</v>
      </c>
      <c r="C92" s="21" t="s">
        <v>75</v>
      </c>
      <c r="D92" s="21" t="s">
        <v>73</v>
      </c>
    </row>
    <row r="93" spans="1:4" s="21" customFormat="1" x14ac:dyDescent="0.25">
      <c r="A93" s="21">
        <v>641</v>
      </c>
      <c r="B93" s="21" t="s">
        <v>177</v>
      </c>
      <c r="C93" s="21" t="s">
        <v>92</v>
      </c>
      <c r="D93" s="21" t="s">
        <v>73</v>
      </c>
    </row>
    <row r="94" spans="1:4" s="21" customFormat="1" x14ac:dyDescent="0.25">
      <c r="A94" s="21">
        <v>648</v>
      </c>
      <c r="B94" s="21" t="s">
        <v>178</v>
      </c>
      <c r="C94" s="21" t="s">
        <v>78</v>
      </c>
      <c r="D94" s="21" t="s">
        <v>73</v>
      </c>
    </row>
    <row r="95" spans="1:4" s="21" customFormat="1" x14ac:dyDescent="0.25">
      <c r="A95" s="21">
        <v>663</v>
      </c>
      <c r="B95" s="21" t="s">
        <v>179</v>
      </c>
      <c r="C95" s="21" t="s">
        <v>96</v>
      </c>
      <c r="D95" s="21" t="s">
        <v>73</v>
      </c>
    </row>
    <row r="96" spans="1:4" s="21" customFormat="1" x14ac:dyDescent="0.25">
      <c r="A96" s="21">
        <v>519</v>
      </c>
      <c r="B96" s="21" t="s">
        <v>180</v>
      </c>
      <c r="C96" s="21" t="s">
        <v>89</v>
      </c>
      <c r="D96" s="21" t="s">
        <v>73</v>
      </c>
    </row>
    <row r="97" spans="1:4" s="21" customFormat="1" x14ac:dyDescent="0.25">
      <c r="A97" s="21">
        <v>625</v>
      </c>
      <c r="B97" s="21" t="s">
        <v>181</v>
      </c>
      <c r="C97" s="21" t="s">
        <v>78</v>
      </c>
      <c r="D97" s="21" t="s">
        <v>73</v>
      </c>
    </row>
    <row r="98" spans="1:4" s="21" customFormat="1" x14ac:dyDescent="0.25">
      <c r="A98" s="21">
        <v>485</v>
      </c>
      <c r="B98" s="21" t="s">
        <v>182</v>
      </c>
      <c r="C98" s="21" t="s">
        <v>89</v>
      </c>
      <c r="D98" s="21" t="s">
        <v>73</v>
      </c>
    </row>
    <row r="99" spans="1:4" s="21" customFormat="1" x14ac:dyDescent="0.25">
      <c r="A99" s="21">
        <v>549</v>
      </c>
      <c r="B99" s="21" t="s">
        <v>183</v>
      </c>
      <c r="C99" s="21" t="s">
        <v>83</v>
      </c>
      <c r="D99" s="21" t="s">
        <v>73</v>
      </c>
    </row>
    <row r="100" spans="1:4" s="21" customFormat="1" x14ac:dyDescent="0.25">
      <c r="A100" s="21">
        <v>244</v>
      </c>
      <c r="B100" s="21" t="s">
        <v>184</v>
      </c>
      <c r="C100" s="21" t="s">
        <v>75</v>
      </c>
      <c r="D100" s="21" t="s">
        <v>73</v>
      </c>
    </row>
    <row r="101" spans="1:4" s="21" customFormat="1" x14ac:dyDescent="0.25">
      <c r="A101" s="21">
        <v>685</v>
      </c>
      <c r="B101" s="21" t="s">
        <v>185</v>
      </c>
      <c r="C101" s="21" t="s">
        <v>122</v>
      </c>
      <c r="D101" s="21" t="s">
        <v>73</v>
      </c>
    </row>
    <row r="102" spans="1:4" s="21" customFormat="1" x14ac:dyDescent="0.25">
      <c r="A102" s="21">
        <v>145</v>
      </c>
      <c r="B102" s="21" t="s">
        <v>186</v>
      </c>
      <c r="C102" s="21" t="s">
        <v>72</v>
      </c>
      <c r="D102" s="21" t="s">
        <v>73</v>
      </c>
    </row>
    <row r="103" spans="1:4" s="21" customFormat="1" x14ac:dyDescent="0.25">
      <c r="A103" s="21">
        <v>259</v>
      </c>
      <c r="B103" s="21" t="s">
        <v>187</v>
      </c>
      <c r="C103" s="21" t="s">
        <v>92</v>
      </c>
      <c r="D103" s="21" t="s">
        <v>73</v>
      </c>
    </row>
    <row r="104" spans="1:4" s="21" customFormat="1" x14ac:dyDescent="0.25">
      <c r="A104" s="21">
        <v>359</v>
      </c>
      <c r="B104" s="21" t="s">
        <v>188</v>
      </c>
      <c r="C104" s="21" t="s">
        <v>92</v>
      </c>
      <c r="D104" s="21" t="s">
        <v>73</v>
      </c>
    </row>
    <row r="105" spans="1:4" s="21" customFormat="1" x14ac:dyDescent="0.25">
      <c r="A105" s="21">
        <v>605</v>
      </c>
      <c r="B105" s="21" t="s">
        <v>189</v>
      </c>
      <c r="C105" s="21" t="s">
        <v>75</v>
      </c>
      <c r="D105" s="21" t="s">
        <v>73</v>
      </c>
    </row>
    <row r="106" spans="1:4" s="21" customFormat="1" x14ac:dyDescent="0.25">
      <c r="A106" s="21">
        <v>329</v>
      </c>
      <c r="B106" s="21" t="s">
        <v>190</v>
      </c>
      <c r="C106" s="21" t="s">
        <v>92</v>
      </c>
      <c r="D106" s="21" t="s">
        <v>73</v>
      </c>
    </row>
    <row r="107" spans="1:4" s="21" customFormat="1" x14ac:dyDescent="0.25">
      <c r="A107" s="21">
        <v>568</v>
      </c>
      <c r="B107" s="21" t="s">
        <v>191</v>
      </c>
      <c r="C107" s="21" t="s">
        <v>116</v>
      </c>
      <c r="D107" s="21" t="s">
        <v>73</v>
      </c>
    </row>
    <row r="108" spans="1:4" s="21" customFormat="1" x14ac:dyDescent="0.25">
      <c r="A108" s="21">
        <v>564</v>
      </c>
      <c r="B108" s="21" t="s">
        <v>192</v>
      </c>
      <c r="C108" s="21" t="s">
        <v>87</v>
      </c>
      <c r="D108" s="21" t="s">
        <v>73</v>
      </c>
    </row>
    <row r="109" spans="1:4" s="21" customFormat="1" x14ac:dyDescent="0.25">
      <c r="A109" s="21">
        <v>562</v>
      </c>
      <c r="B109" s="21" t="s">
        <v>193</v>
      </c>
      <c r="C109" s="21" t="s">
        <v>96</v>
      </c>
      <c r="D109" s="21" t="s">
        <v>73</v>
      </c>
    </row>
    <row r="110" spans="1:4" s="21" customFormat="1" x14ac:dyDescent="0.25">
      <c r="A110" s="21">
        <v>175</v>
      </c>
      <c r="B110" s="21" t="s">
        <v>194</v>
      </c>
      <c r="C110" s="21" t="s">
        <v>83</v>
      </c>
      <c r="D110" s="21" t="s">
        <v>73</v>
      </c>
    </row>
    <row r="111" spans="1:4" s="21" customFormat="1" x14ac:dyDescent="0.25">
      <c r="A111" s="21">
        <v>466</v>
      </c>
      <c r="B111" s="21" t="s">
        <v>195</v>
      </c>
      <c r="C111" s="21" t="s">
        <v>92</v>
      </c>
      <c r="D111" s="21" t="s">
        <v>73</v>
      </c>
    </row>
    <row r="112" spans="1:4" s="21" customFormat="1" x14ac:dyDescent="0.25">
      <c r="A112" s="21">
        <v>673</v>
      </c>
      <c r="B112" s="21" t="s">
        <v>196</v>
      </c>
      <c r="C112" s="21" t="s">
        <v>75</v>
      </c>
      <c r="D112" s="21" t="s">
        <v>73</v>
      </c>
    </row>
    <row r="113" spans="1:4" s="21" customFormat="1" x14ac:dyDescent="0.25">
      <c r="A113" s="21">
        <v>104</v>
      </c>
      <c r="B113" s="21" t="s">
        <v>197</v>
      </c>
      <c r="C113" s="21" t="s">
        <v>92</v>
      </c>
      <c r="D113" s="21" t="s">
        <v>73</v>
      </c>
    </row>
    <row r="114" spans="1:4" s="21" customFormat="1" x14ac:dyDescent="0.25">
      <c r="A114" s="21">
        <v>351</v>
      </c>
      <c r="B114" s="21" t="s">
        <v>198</v>
      </c>
      <c r="C114" s="21" t="s">
        <v>78</v>
      </c>
      <c r="D114" s="21" t="s">
        <v>73</v>
      </c>
    </row>
    <row r="115" spans="1:4" s="21" customFormat="1" x14ac:dyDescent="0.25">
      <c r="A115" s="21">
        <v>153</v>
      </c>
      <c r="B115" s="21" t="s">
        <v>199</v>
      </c>
      <c r="C115" s="21" t="s">
        <v>89</v>
      </c>
      <c r="D115" s="21" t="s">
        <v>73</v>
      </c>
    </row>
    <row r="116" spans="1:4" s="21" customFormat="1" x14ac:dyDescent="0.25">
      <c r="A116" s="21">
        <v>681</v>
      </c>
      <c r="B116" s="21" t="s">
        <v>200</v>
      </c>
      <c r="C116" s="21" t="s">
        <v>92</v>
      </c>
      <c r="D116" s="21" t="s">
        <v>73</v>
      </c>
    </row>
    <row r="117" spans="1:4" s="21" customFormat="1" x14ac:dyDescent="0.25">
      <c r="A117" s="21">
        <v>640</v>
      </c>
      <c r="B117" s="21" t="s">
        <v>201</v>
      </c>
      <c r="C117" s="21" t="s">
        <v>92</v>
      </c>
      <c r="D117" s="21" t="s">
        <v>73</v>
      </c>
    </row>
    <row r="118" spans="1:4" s="21" customFormat="1" x14ac:dyDescent="0.25">
      <c r="A118" s="21">
        <v>343</v>
      </c>
      <c r="B118" s="21" t="s">
        <v>202</v>
      </c>
      <c r="C118" s="21" t="s">
        <v>92</v>
      </c>
      <c r="D118" s="21" t="s">
        <v>73</v>
      </c>
    </row>
    <row r="119" spans="1:4" s="21" customFormat="1" x14ac:dyDescent="0.25">
      <c r="A119" s="21">
        <v>123</v>
      </c>
      <c r="B119" s="21" t="s">
        <v>203</v>
      </c>
      <c r="C119" s="21" t="s">
        <v>78</v>
      </c>
      <c r="D119" s="21" t="s">
        <v>73</v>
      </c>
    </row>
    <row r="120" spans="1:4" s="21" customFormat="1" x14ac:dyDescent="0.25">
      <c r="A120" s="21">
        <v>209</v>
      </c>
      <c r="B120" s="21" t="s">
        <v>204</v>
      </c>
      <c r="C120" s="21" t="s">
        <v>96</v>
      </c>
      <c r="D120" s="21" t="s">
        <v>73</v>
      </c>
    </row>
    <row r="121" spans="1:4" s="21" customFormat="1" x14ac:dyDescent="0.25">
      <c r="A121" s="21">
        <v>380</v>
      </c>
      <c r="B121" s="21" t="s">
        <v>205</v>
      </c>
      <c r="C121" s="21" t="s">
        <v>89</v>
      </c>
      <c r="D121" s="21" t="s">
        <v>73</v>
      </c>
    </row>
    <row r="122" spans="1:4" s="21" customFormat="1" x14ac:dyDescent="0.25">
      <c r="A122" s="21">
        <v>408</v>
      </c>
      <c r="B122" s="21" t="s">
        <v>206</v>
      </c>
      <c r="C122" s="21" t="s">
        <v>83</v>
      </c>
      <c r="D122" s="21" t="s">
        <v>73</v>
      </c>
    </row>
    <row r="123" spans="1:4" s="21" customFormat="1" x14ac:dyDescent="0.25">
      <c r="A123" s="21">
        <v>390</v>
      </c>
      <c r="B123" s="21" t="s">
        <v>207</v>
      </c>
      <c r="C123" s="21" t="s">
        <v>83</v>
      </c>
      <c r="D123" s="21" t="s">
        <v>73</v>
      </c>
    </row>
    <row r="124" spans="1:4" s="21" customFormat="1" x14ac:dyDescent="0.25">
      <c r="A124" s="21">
        <v>121</v>
      </c>
      <c r="B124" s="21" t="s">
        <v>208</v>
      </c>
      <c r="C124" s="21" t="s">
        <v>78</v>
      </c>
      <c r="D124" s="21" t="s">
        <v>73</v>
      </c>
    </row>
    <row r="125" spans="1:4" s="21" customFormat="1" x14ac:dyDescent="0.25">
      <c r="A125" s="21">
        <v>443</v>
      </c>
      <c r="B125" s="21" t="s">
        <v>209</v>
      </c>
      <c r="C125" s="21" t="s">
        <v>72</v>
      </c>
      <c r="D125" s="21" t="s">
        <v>73</v>
      </c>
    </row>
    <row r="126" spans="1:4" s="21" customFormat="1" x14ac:dyDescent="0.25">
      <c r="A126" s="21">
        <v>416</v>
      </c>
      <c r="B126" s="21" t="s">
        <v>210</v>
      </c>
      <c r="C126" s="21" t="s">
        <v>89</v>
      </c>
      <c r="D126" s="21" t="s">
        <v>73</v>
      </c>
    </row>
    <row r="127" spans="1:4" s="21" customFormat="1" x14ac:dyDescent="0.25">
      <c r="A127" s="21">
        <v>457</v>
      </c>
      <c r="B127" s="21" t="s">
        <v>211</v>
      </c>
      <c r="C127" s="21" t="s">
        <v>89</v>
      </c>
      <c r="D127" s="21" t="s">
        <v>73</v>
      </c>
    </row>
    <row r="128" spans="1:4" s="21" customFormat="1" x14ac:dyDescent="0.25">
      <c r="A128" s="21">
        <v>124</v>
      </c>
      <c r="B128" s="21" t="s">
        <v>212</v>
      </c>
      <c r="C128" s="21" t="s">
        <v>78</v>
      </c>
      <c r="D128" s="21" t="s">
        <v>73</v>
      </c>
    </row>
    <row r="129" spans="1:4" s="21" customFormat="1" x14ac:dyDescent="0.25">
      <c r="A129" s="21">
        <v>195</v>
      </c>
      <c r="B129" s="21" t="s">
        <v>213</v>
      </c>
      <c r="C129" s="21" t="s">
        <v>116</v>
      </c>
      <c r="D129" s="21" t="s">
        <v>73</v>
      </c>
    </row>
    <row r="130" spans="1:4" s="21" customFormat="1" x14ac:dyDescent="0.25">
      <c r="A130" s="21">
        <v>252</v>
      </c>
      <c r="B130" s="21" t="s">
        <v>214</v>
      </c>
      <c r="C130" s="21" t="s">
        <v>78</v>
      </c>
      <c r="D130" s="21" t="s">
        <v>73</v>
      </c>
    </row>
    <row r="131" spans="1:4" s="21" customFormat="1" x14ac:dyDescent="0.25">
      <c r="A131" s="21">
        <v>378</v>
      </c>
      <c r="B131" s="21" t="s">
        <v>215</v>
      </c>
      <c r="C131" s="21" t="s">
        <v>119</v>
      </c>
      <c r="D131" s="21" t="s">
        <v>73</v>
      </c>
    </row>
    <row r="132" spans="1:4" s="21" customFormat="1" x14ac:dyDescent="0.25">
      <c r="A132" s="21">
        <v>218</v>
      </c>
      <c r="B132" s="21" t="s">
        <v>216</v>
      </c>
      <c r="C132" s="21" t="s">
        <v>96</v>
      </c>
      <c r="D132" s="21" t="s">
        <v>73</v>
      </c>
    </row>
    <row r="133" spans="1:4" s="21" customFormat="1" x14ac:dyDescent="0.25">
      <c r="A133" s="21">
        <v>206</v>
      </c>
      <c r="B133" s="21" t="s">
        <v>217</v>
      </c>
      <c r="C133" s="21" t="s">
        <v>96</v>
      </c>
      <c r="D133" s="21" t="s">
        <v>73</v>
      </c>
    </row>
    <row r="134" spans="1:4" s="21" customFormat="1" x14ac:dyDescent="0.25">
      <c r="A134" s="21">
        <v>447</v>
      </c>
      <c r="B134" s="21" t="s">
        <v>218</v>
      </c>
      <c r="C134" s="21" t="s">
        <v>89</v>
      </c>
      <c r="D134" s="21" t="s">
        <v>73</v>
      </c>
    </row>
    <row r="135" spans="1:4" s="21" customFormat="1" x14ac:dyDescent="0.25">
      <c r="A135" s="21">
        <v>397</v>
      </c>
      <c r="B135" s="21" t="s">
        <v>219</v>
      </c>
      <c r="C135" s="21" t="s">
        <v>83</v>
      </c>
      <c r="D135" s="21" t="s">
        <v>73</v>
      </c>
    </row>
    <row r="136" spans="1:4" s="21" customFormat="1" x14ac:dyDescent="0.25">
      <c r="A136" s="21">
        <v>363</v>
      </c>
      <c r="B136" s="21" t="s">
        <v>220</v>
      </c>
      <c r="C136" s="21" t="s">
        <v>78</v>
      </c>
      <c r="D136" s="21" t="s">
        <v>73</v>
      </c>
    </row>
    <row r="137" spans="1:4" s="21" customFormat="1" x14ac:dyDescent="0.25">
      <c r="A137" s="21">
        <v>404</v>
      </c>
      <c r="B137" s="21" t="s">
        <v>221</v>
      </c>
      <c r="C137" s="21" t="s">
        <v>87</v>
      </c>
      <c r="D137" s="21" t="s">
        <v>73</v>
      </c>
    </row>
    <row r="138" spans="1:4" s="21" customFormat="1" x14ac:dyDescent="0.25">
      <c r="A138" s="21">
        <v>631</v>
      </c>
      <c r="B138" s="21" t="s">
        <v>222</v>
      </c>
      <c r="C138" s="21" t="s">
        <v>89</v>
      </c>
      <c r="D138" s="21" t="s">
        <v>73</v>
      </c>
    </row>
    <row r="139" spans="1:4" s="21" customFormat="1" x14ac:dyDescent="0.25">
      <c r="A139" s="21">
        <v>686</v>
      </c>
      <c r="B139" s="21" t="s">
        <v>223</v>
      </c>
      <c r="C139" s="21" t="s">
        <v>122</v>
      </c>
      <c r="D139" s="21" t="s">
        <v>73</v>
      </c>
    </row>
    <row r="140" spans="1:4" s="21" customFormat="1" x14ac:dyDescent="0.25">
      <c r="A140" s="21">
        <v>441</v>
      </c>
      <c r="B140" s="21" t="s">
        <v>224</v>
      </c>
      <c r="C140" s="21" t="s">
        <v>78</v>
      </c>
      <c r="D140" s="21" t="s">
        <v>73</v>
      </c>
    </row>
    <row r="141" spans="1:4" s="21" customFormat="1" x14ac:dyDescent="0.25">
      <c r="A141" s="21">
        <v>590</v>
      </c>
      <c r="B141" s="21" t="s">
        <v>225</v>
      </c>
      <c r="C141" s="21" t="s">
        <v>81</v>
      </c>
      <c r="D141" s="21" t="s">
        <v>73</v>
      </c>
    </row>
    <row r="142" spans="1:4" s="21" customFormat="1" x14ac:dyDescent="0.25">
      <c r="A142" s="21">
        <v>152</v>
      </c>
      <c r="B142" s="21" t="s">
        <v>226</v>
      </c>
      <c r="C142" s="21" t="s">
        <v>89</v>
      </c>
      <c r="D142" s="21" t="s">
        <v>73</v>
      </c>
    </row>
    <row r="143" spans="1:4" s="21" customFormat="1" x14ac:dyDescent="0.25">
      <c r="A143" s="21">
        <v>651</v>
      </c>
      <c r="B143" s="21" t="s">
        <v>227</v>
      </c>
      <c r="C143" s="21" t="s">
        <v>89</v>
      </c>
      <c r="D143" s="21" t="s">
        <v>73</v>
      </c>
    </row>
    <row r="144" spans="1:4" s="21" customFormat="1" x14ac:dyDescent="0.25">
      <c r="A144" s="21">
        <v>172</v>
      </c>
      <c r="B144" s="21" t="s">
        <v>228</v>
      </c>
      <c r="C144" s="21" t="s">
        <v>83</v>
      </c>
      <c r="D144" s="21" t="s">
        <v>73</v>
      </c>
    </row>
    <row r="145" spans="1:4" s="21" customFormat="1" x14ac:dyDescent="0.25">
      <c r="A145" s="21">
        <v>127</v>
      </c>
      <c r="B145" s="21" t="s">
        <v>229</v>
      </c>
      <c r="C145" s="21" t="s">
        <v>78</v>
      </c>
      <c r="D145" s="21" t="s">
        <v>73</v>
      </c>
    </row>
    <row r="146" spans="1:4" s="21" customFormat="1" x14ac:dyDescent="0.25">
      <c r="A146" s="21">
        <v>379</v>
      </c>
      <c r="B146" s="21" t="s">
        <v>230</v>
      </c>
      <c r="C146" s="21" t="s">
        <v>89</v>
      </c>
      <c r="D146" s="21" t="s">
        <v>73</v>
      </c>
    </row>
    <row r="147" spans="1:4" s="21" customFormat="1" x14ac:dyDescent="0.25">
      <c r="A147" s="21">
        <v>158</v>
      </c>
      <c r="B147" s="21" t="s">
        <v>231</v>
      </c>
      <c r="C147" s="21" t="s">
        <v>89</v>
      </c>
      <c r="D147" s="21" t="s">
        <v>73</v>
      </c>
    </row>
    <row r="148" spans="1:4" s="21" customFormat="1" x14ac:dyDescent="0.25">
      <c r="A148" s="21">
        <v>126</v>
      </c>
      <c r="B148" s="21" t="s">
        <v>232</v>
      </c>
      <c r="C148" s="21" t="s">
        <v>78</v>
      </c>
      <c r="D148" s="21" t="s">
        <v>73</v>
      </c>
    </row>
    <row r="149" spans="1:4" s="21" customFormat="1" x14ac:dyDescent="0.25">
      <c r="A149" s="21">
        <v>598</v>
      </c>
      <c r="B149" s="21" t="s">
        <v>233</v>
      </c>
      <c r="C149" s="21" t="s">
        <v>122</v>
      </c>
      <c r="D149" s="21" t="s">
        <v>73</v>
      </c>
    </row>
    <row r="150" spans="1:4" s="21" customFormat="1" x14ac:dyDescent="0.25">
      <c r="A150" s="21">
        <v>670</v>
      </c>
      <c r="B150" s="21" t="s">
        <v>234</v>
      </c>
      <c r="C150" s="21" t="s">
        <v>75</v>
      </c>
      <c r="D150" s="21" t="s">
        <v>73</v>
      </c>
    </row>
    <row r="151" spans="1:4" s="21" customFormat="1" x14ac:dyDescent="0.25">
      <c r="A151" s="21">
        <v>388</v>
      </c>
      <c r="B151" s="21" t="s">
        <v>235</v>
      </c>
      <c r="C151" s="21" t="s">
        <v>83</v>
      </c>
      <c r="D151" s="21" t="s">
        <v>73</v>
      </c>
    </row>
    <row r="152" spans="1:4" s="21" customFormat="1" x14ac:dyDescent="0.25">
      <c r="A152" s="21">
        <v>215</v>
      </c>
      <c r="B152" s="21" t="s">
        <v>236</v>
      </c>
      <c r="C152" s="21" t="s">
        <v>96</v>
      </c>
      <c r="D152" s="21" t="s">
        <v>73</v>
      </c>
    </row>
    <row r="153" spans="1:4" s="21" customFormat="1" x14ac:dyDescent="0.25">
      <c r="A153" s="21">
        <v>180</v>
      </c>
      <c r="B153" s="21" t="s">
        <v>237</v>
      </c>
      <c r="C153" s="21" t="s">
        <v>87</v>
      </c>
      <c r="D153" s="21" t="s">
        <v>73</v>
      </c>
    </row>
    <row r="154" spans="1:4" s="21" customFormat="1" x14ac:dyDescent="0.25">
      <c r="A154" s="21">
        <v>208</v>
      </c>
      <c r="B154" s="21" t="s">
        <v>238</v>
      </c>
      <c r="C154" s="21" t="s">
        <v>96</v>
      </c>
      <c r="D154" s="21" t="s">
        <v>73</v>
      </c>
    </row>
    <row r="155" spans="1:4" s="21" customFormat="1" x14ac:dyDescent="0.25">
      <c r="A155" s="21">
        <v>511</v>
      </c>
      <c r="B155" s="21" t="s">
        <v>239</v>
      </c>
      <c r="C155" s="21" t="s">
        <v>96</v>
      </c>
      <c r="D155" s="21" t="s">
        <v>73</v>
      </c>
    </row>
    <row r="156" spans="1:4" s="21" customFormat="1" x14ac:dyDescent="0.25">
      <c r="A156" s="21">
        <v>661</v>
      </c>
      <c r="B156" s="21" t="s">
        <v>240</v>
      </c>
      <c r="C156" s="21" t="s">
        <v>96</v>
      </c>
      <c r="D156" s="21" t="s">
        <v>73</v>
      </c>
    </row>
    <row r="157" spans="1:4" s="21" customFormat="1" x14ac:dyDescent="0.25">
      <c r="A157" s="21">
        <v>565</v>
      </c>
      <c r="B157" s="21" t="s">
        <v>241</v>
      </c>
      <c r="C157" s="21" t="s">
        <v>116</v>
      </c>
      <c r="D157" s="21" t="s">
        <v>73</v>
      </c>
    </row>
    <row r="158" spans="1:4" s="21" customFormat="1" x14ac:dyDescent="0.25">
      <c r="A158" s="21">
        <v>181</v>
      </c>
      <c r="B158" s="21" t="s">
        <v>242</v>
      </c>
      <c r="C158" s="21" t="s">
        <v>87</v>
      </c>
      <c r="D158" s="21" t="s">
        <v>73</v>
      </c>
    </row>
    <row r="159" spans="1:4" s="21" customFormat="1" x14ac:dyDescent="0.25">
      <c r="A159" s="21">
        <v>197</v>
      </c>
      <c r="B159" s="21" t="s">
        <v>243</v>
      </c>
      <c r="C159" s="21" t="s">
        <v>116</v>
      </c>
      <c r="D159" s="21" t="s">
        <v>73</v>
      </c>
    </row>
    <row r="160" spans="1:4" s="21" customFormat="1" x14ac:dyDescent="0.25">
      <c r="A160" s="21">
        <v>182</v>
      </c>
      <c r="B160" s="21" t="s">
        <v>244</v>
      </c>
      <c r="C160" s="21" t="s">
        <v>87</v>
      </c>
      <c r="D160" s="21" t="s">
        <v>73</v>
      </c>
    </row>
    <row r="161" spans="1:4" s="21" customFormat="1" x14ac:dyDescent="0.25">
      <c r="A161" s="21">
        <v>585</v>
      </c>
      <c r="B161" s="21" t="s">
        <v>245</v>
      </c>
      <c r="C161" s="21" t="s">
        <v>72</v>
      </c>
      <c r="D161" s="21" t="s">
        <v>73</v>
      </c>
    </row>
    <row r="162" spans="1:4" s="21" customFormat="1" x14ac:dyDescent="0.25">
      <c r="A162" s="21">
        <v>587</v>
      </c>
      <c r="B162" s="21" t="s">
        <v>246</v>
      </c>
      <c r="C162" s="21" t="s">
        <v>78</v>
      </c>
      <c r="D162" s="21" t="s">
        <v>73</v>
      </c>
    </row>
    <row r="163" spans="1:4" s="21" customFormat="1" x14ac:dyDescent="0.25">
      <c r="A163" s="21">
        <v>523</v>
      </c>
      <c r="B163" s="21" t="s">
        <v>247</v>
      </c>
      <c r="C163" s="21" t="s">
        <v>75</v>
      </c>
      <c r="D163" s="21" t="s">
        <v>73</v>
      </c>
    </row>
    <row r="164" spans="1:4" s="21" customFormat="1" x14ac:dyDescent="0.25">
      <c r="A164" s="21">
        <v>666</v>
      </c>
      <c r="B164" s="21" t="s">
        <v>248</v>
      </c>
      <c r="C164" s="21" t="s">
        <v>75</v>
      </c>
      <c r="D164" s="21" t="s">
        <v>73</v>
      </c>
    </row>
    <row r="165" spans="1:4" s="21" customFormat="1" x14ac:dyDescent="0.25">
      <c r="A165" s="21">
        <v>361</v>
      </c>
      <c r="B165" s="21" t="s">
        <v>249</v>
      </c>
      <c r="C165" s="21" t="s">
        <v>75</v>
      </c>
      <c r="D165" s="21" t="s">
        <v>73</v>
      </c>
    </row>
    <row r="166" spans="1:4" s="21" customFormat="1" x14ac:dyDescent="0.25">
      <c r="A166" s="21">
        <v>356</v>
      </c>
      <c r="B166" s="21" t="s">
        <v>250</v>
      </c>
      <c r="C166" s="21" t="s">
        <v>89</v>
      </c>
      <c r="D166" s="21" t="s">
        <v>73</v>
      </c>
    </row>
    <row r="167" spans="1:4" s="21" customFormat="1" x14ac:dyDescent="0.25">
      <c r="A167" s="21">
        <v>540</v>
      </c>
      <c r="B167" s="21" t="s">
        <v>251</v>
      </c>
      <c r="C167" s="21" t="s">
        <v>81</v>
      </c>
      <c r="D167" s="21" t="s">
        <v>73</v>
      </c>
    </row>
    <row r="168" spans="1:4" s="21" customFormat="1" x14ac:dyDescent="0.25">
      <c r="A168" s="21">
        <v>660</v>
      </c>
      <c r="B168" s="21" t="s">
        <v>252</v>
      </c>
      <c r="C168" s="21" t="s">
        <v>96</v>
      </c>
      <c r="D168" s="21" t="s">
        <v>73</v>
      </c>
    </row>
    <row r="169" spans="1:4" s="21" customFormat="1" x14ac:dyDescent="0.25">
      <c r="A169" s="21">
        <v>669</v>
      </c>
      <c r="B169" s="21" t="s">
        <v>253</v>
      </c>
      <c r="C169" s="21" t="s">
        <v>75</v>
      </c>
      <c r="D169" s="21" t="s">
        <v>73</v>
      </c>
    </row>
    <row r="170" spans="1:4" s="21" customFormat="1" x14ac:dyDescent="0.25">
      <c r="A170" s="21">
        <v>322</v>
      </c>
      <c r="B170" s="21" t="s">
        <v>254</v>
      </c>
      <c r="C170" s="21" t="s">
        <v>92</v>
      </c>
      <c r="D170" s="21" t="s">
        <v>73</v>
      </c>
    </row>
    <row r="171" spans="1:4" s="21" customFormat="1" x14ac:dyDescent="0.25">
      <c r="A171" s="21">
        <v>157</v>
      </c>
      <c r="B171" s="21" t="s">
        <v>255</v>
      </c>
      <c r="C171" s="21" t="s">
        <v>89</v>
      </c>
      <c r="D171" s="21" t="s">
        <v>73</v>
      </c>
    </row>
    <row r="172" spans="1:4" s="21" customFormat="1" x14ac:dyDescent="0.25">
      <c r="A172" s="21">
        <v>342</v>
      </c>
      <c r="B172" s="21" t="s">
        <v>256</v>
      </c>
      <c r="C172" s="21" t="s">
        <v>92</v>
      </c>
      <c r="D172" s="21" t="s">
        <v>73</v>
      </c>
    </row>
    <row r="173" spans="1:4" s="21" customFormat="1" x14ac:dyDescent="0.25">
      <c r="A173" s="21">
        <v>103</v>
      </c>
      <c r="B173" s="21" t="s">
        <v>257</v>
      </c>
      <c r="C173" s="21" t="s">
        <v>92</v>
      </c>
      <c r="D173" s="21" t="s">
        <v>73</v>
      </c>
    </row>
    <row r="174" spans="1:4" s="21" customFormat="1" x14ac:dyDescent="0.25">
      <c r="A174" s="21">
        <v>364</v>
      </c>
      <c r="B174" s="21" t="s">
        <v>258</v>
      </c>
      <c r="C174" s="21" t="s">
        <v>72</v>
      </c>
      <c r="D174" s="21" t="s">
        <v>73</v>
      </c>
    </row>
    <row r="175" spans="1:4" s="21" customFormat="1" x14ac:dyDescent="0.25">
      <c r="A175" s="21">
        <v>490</v>
      </c>
      <c r="B175" s="21" t="s">
        <v>259</v>
      </c>
      <c r="C175" s="21" t="s">
        <v>89</v>
      </c>
      <c r="D175" s="21" t="s">
        <v>73</v>
      </c>
    </row>
    <row r="176" spans="1:4" s="21" customFormat="1" x14ac:dyDescent="0.25">
      <c r="A176" s="21">
        <v>483</v>
      </c>
      <c r="B176" s="21" t="s">
        <v>260</v>
      </c>
      <c r="C176" s="21" t="s">
        <v>72</v>
      </c>
      <c r="D176" s="21" t="s">
        <v>73</v>
      </c>
    </row>
    <row r="177" spans="1:4" s="21" customFormat="1" x14ac:dyDescent="0.25">
      <c r="A177" s="21">
        <v>525</v>
      </c>
      <c r="B177" s="21" t="s">
        <v>261</v>
      </c>
      <c r="C177" s="21" t="s">
        <v>92</v>
      </c>
      <c r="D177" s="21" t="s">
        <v>73</v>
      </c>
    </row>
    <row r="178" spans="1:4" s="21" customFormat="1" x14ac:dyDescent="0.25">
      <c r="A178" s="21">
        <v>615</v>
      </c>
      <c r="B178" s="21" t="s">
        <v>262</v>
      </c>
      <c r="C178" s="21" t="s">
        <v>83</v>
      </c>
      <c r="D178" s="21" t="s">
        <v>73</v>
      </c>
    </row>
    <row r="179" spans="1:4" s="21" customFormat="1" x14ac:dyDescent="0.25">
      <c r="A179" s="21">
        <v>591</v>
      </c>
      <c r="B179" s="21" t="s">
        <v>263</v>
      </c>
      <c r="C179" s="21" t="s">
        <v>81</v>
      </c>
      <c r="D179" s="21" t="s">
        <v>73</v>
      </c>
    </row>
    <row r="180" spans="1:4" s="21" customFormat="1" x14ac:dyDescent="0.25">
      <c r="A180" s="21">
        <v>191</v>
      </c>
      <c r="B180" s="21" t="s">
        <v>264</v>
      </c>
      <c r="C180" s="21" t="s">
        <v>87</v>
      </c>
      <c r="D180" s="21" t="s">
        <v>73</v>
      </c>
    </row>
    <row r="181" spans="1:4" s="21" customFormat="1" x14ac:dyDescent="0.25">
      <c r="A181" s="21">
        <v>596</v>
      </c>
      <c r="B181" s="21" t="s">
        <v>265</v>
      </c>
      <c r="C181" s="21" t="s">
        <v>72</v>
      </c>
      <c r="D181" s="21" t="s">
        <v>73</v>
      </c>
    </row>
    <row r="182" spans="1:4" s="21" customFormat="1" x14ac:dyDescent="0.25">
      <c r="A182" s="21">
        <v>573</v>
      </c>
      <c r="B182" s="21" t="s">
        <v>266</v>
      </c>
      <c r="C182" s="21" t="s">
        <v>116</v>
      </c>
      <c r="D182" s="21" t="s">
        <v>73</v>
      </c>
    </row>
    <row r="183" spans="1:4" s="21" customFormat="1" x14ac:dyDescent="0.25">
      <c r="A183" s="21">
        <v>595</v>
      </c>
      <c r="B183" s="21" t="s">
        <v>267</v>
      </c>
      <c r="C183" s="21" t="s">
        <v>78</v>
      </c>
      <c r="D183" s="21" t="s">
        <v>73</v>
      </c>
    </row>
    <row r="184" spans="1:4" s="21" customFormat="1" x14ac:dyDescent="0.25">
      <c r="A184" s="21">
        <v>559</v>
      </c>
      <c r="B184" s="21" t="s">
        <v>268</v>
      </c>
      <c r="C184" s="21" t="s">
        <v>96</v>
      </c>
      <c r="D184" s="21" t="s">
        <v>73</v>
      </c>
    </row>
    <row r="185" spans="1:4" s="21" customFormat="1" x14ac:dyDescent="0.25">
      <c r="A185" s="21">
        <v>484</v>
      </c>
      <c r="B185" s="21" t="s">
        <v>269</v>
      </c>
      <c r="C185" s="21" t="s">
        <v>72</v>
      </c>
      <c r="D185" s="21" t="s">
        <v>73</v>
      </c>
    </row>
    <row r="186" spans="1:4" s="21" customFormat="1" x14ac:dyDescent="0.25">
      <c r="A186" s="21">
        <v>629</v>
      </c>
      <c r="B186" s="21" t="s">
        <v>270</v>
      </c>
      <c r="C186" s="21" t="s">
        <v>92</v>
      </c>
      <c r="D186" s="21" t="s">
        <v>73</v>
      </c>
    </row>
    <row r="187" spans="1:4" s="21" customFormat="1" x14ac:dyDescent="0.25">
      <c r="A187" s="21">
        <v>427</v>
      </c>
      <c r="B187" s="21" t="s">
        <v>271</v>
      </c>
      <c r="C187" s="21" t="s">
        <v>72</v>
      </c>
      <c r="D187" s="21" t="s">
        <v>73</v>
      </c>
    </row>
    <row r="188" spans="1:4" s="21" customFormat="1" x14ac:dyDescent="0.25">
      <c r="A188" s="21">
        <v>674</v>
      </c>
      <c r="B188" s="21" t="s">
        <v>272</v>
      </c>
      <c r="C188" s="21" t="s">
        <v>75</v>
      </c>
      <c r="D188" s="21" t="s">
        <v>73</v>
      </c>
    </row>
    <row r="189" spans="1:4" s="21" customFormat="1" x14ac:dyDescent="0.25">
      <c r="A189" s="21">
        <v>639</v>
      </c>
      <c r="B189" s="21" t="s">
        <v>273</v>
      </c>
      <c r="C189" s="21" t="s">
        <v>78</v>
      </c>
      <c r="D189" s="21" t="s">
        <v>73</v>
      </c>
    </row>
    <row r="190" spans="1:4" s="21" customFormat="1" x14ac:dyDescent="0.25">
      <c r="A190" s="21">
        <v>644</v>
      </c>
      <c r="B190" s="21" t="s">
        <v>274</v>
      </c>
      <c r="C190" s="21" t="s">
        <v>72</v>
      </c>
      <c r="D190" s="21" t="s">
        <v>73</v>
      </c>
    </row>
    <row r="191" spans="1:4" s="21" customFormat="1" x14ac:dyDescent="0.25">
      <c r="A191" s="21">
        <v>437</v>
      </c>
      <c r="B191" s="21" t="s">
        <v>275</v>
      </c>
      <c r="C191" s="21" t="s">
        <v>96</v>
      </c>
      <c r="D191" s="21" t="s">
        <v>73</v>
      </c>
    </row>
    <row r="192" spans="1:4" s="21" customFormat="1" x14ac:dyDescent="0.25">
      <c r="A192" s="21">
        <v>659</v>
      </c>
      <c r="B192" s="21" t="s">
        <v>276</v>
      </c>
      <c r="C192" s="21" t="s">
        <v>87</v>
      </c>
      <c r="D192" s="21" t="s">
        <v>73</v>
      </c>
    </row>
    <row r="193" spans="1:4" s="21" customFormat="1" x14ac:dyDescent="0.25">
      <c r="A193" s="21">
        <v>198</v>
      </c>
      <c r="B193" s="21" t="s">
        <v>277</v>
      </c>
      <c r="C193" s="21" t="s">
        <v>116</v>
      </c>
      <c r="D193" s="21" t="s">
        <v>73</v>
      </c>
    </row>
    <row r="194" spans="1:4" s="21" customFormat="1" x14ac:dyDescent="0.25">
      <c r="A194" s="21">
        <v>185</v>
      </c>
      <c r="B194" s="21" t="s">
        <v>278</v>
      </c>
      <c r="C194" s="21" t="s">
        <v>87</v>
      </c>
      <c r="D194" s="21" t="s">
        <v>73</v>
      </c>
    </row>
    <row r="195" spans="1:4" s="21" customFormat="1" x14ac:dyDescent="0.25">
      <c r="A195" s="21">
        <v>183</v>
      </c>
      <c r="B195" s="21" t="s">
        <v>279</v>
      </c>
      <c r="C195" s="21" t="s">
        <v>87</v>
      </c>
      <c r="D195" s="21" t="s">
        <v>73</v>
      </c>
    </row>
    <row r="196" spans="1:4" s="21" customFormat="1" x14ac:dyDescent="0.25">
      <c r="A196" s="21">
        <v>664</v>
      </c>
      <c r="B196" s="21" t="s">
        <v>280</v>
      </c>
      <c r="C196" s="21" t="s">
        <v>281</v>
      </c>
      <c r="D196" s="21" t="s">
        <v>73</v>
      </c>
    </row>
    <row r="197" spans="1:4" s="21" customFormat="1" x14ac:dyDescent="0.25">
      <c r="A197" s="21">
        <v>445</v>
      </c>
      <c r="B197" s="21" t="s">
        <v>282</v>
      </c>
      <c r="C197" s="21" t="s">
        <v>78</v>
      </c>
      <c r="D197" s="21" t="s">
        <v>73</v>
      </c>
    </row>
    <row r="198" spans="1:4" s="21" customFormat="1" x14ac:dyDescent="0.25">
      <c r="A198" s="21">
        <v>375</v>
      </c>
      <c r="B198" s="21" t="s">
        <v>283</v>
      </c>
      <c r="C198" s="21" t="s">
        <v>78</v>
      </c>
      <c r="D198" s="21" t="s">
        <v>73</v>
      </c>
    </row>
    <row r="199" spans="1:4" s="21" customFormat="1" x14ac:dyDescent="0.25">
      <c r="A199" s="21">
        <v>667</v>
      </c>
      <c r="B199" s="21" t="s">
        <v>284</v>
      </c>
      <c r="C199" s="21" t="s">
        <v>75</v>
      </c>
      <c r="D199" s="21" t="s">
        <v>73</v>
      </c>
    </row>
    <row r="200" spans="1:4" s="21" customFormat="1" x14ac:dyDescent="0.25">
      <c r="A200" s="21">
        <v>370</v>
      </c>
      <c r="B200" s="21" t="s">
        <v>285</v>
      </c>
      <c r="C200" s="21" t="s">
        <v>83</v>
      </c>
      <c r="D200" s="21" t="s">
        <v>73</v>
      </c>
    </row>
    <row r="201" spans="1:4" s="21" customFormat="1" x14ac:dyDescent="0.25">
      <c r="A201" s="21">
        <v>110</v>
      </c>
      <c r="B201" s="21" t="s">
        <v>286</v>
      </c>
      <c r="C201" s="21" t="s">
        <v>92</v>
      </c>
      <c r="D201" s="21" t="s">
        <v>73</v>
      </c>
    </row>
    <row r="202" spans="1:4" s="21" customFormat="1" x14ac:dyDescent="0.25">
      <c r="A202" s="21">
        <v>260</v>
      </c>
      <c r="B202" s="21" t="s">
        <v>287</v>
      </c>
      <c r="C202" s="21" t="s">
        <v>92</v>
      </c>
      <c r="D202" s="21" t="s">
        <v>73</v>
      </c>
    </row>
    <row r="203" spans="1:4" s="21" customFormat="1" x14ac:dyDescent="0.25">
      <c r="A203" s="21">
        <v>396</v>
      </c>
      <c r="B203" s="21" t="s">
        <v>288</v>
      </c>
      <c r="C203" s="21" t="s">
        <v>89</v>
      </c>
      <c r="D203" s="21" t="s">
        <v>73</v>
      </c>
    </row>
    <row r="204" spans="1:4" s="21" customFormat="1" x14ac:dyDescent="0.25">
      <c r="A204" s="21">
        <v>412</v>
      </c>
      <c r="B204" s="21" t="s">
        <v>289</v>
      </c>
      <c r="C204" s="21" t="s">
        <v>72</v>
      </c>
      <c r="D204" s="21" t="s">
        <v>73</v>
      </c>
    </row>
    <row r="205" spans="1:4" s="21" customFormat="1" x14ac:dyDescent="0.25">
      <c r="A205" s="21">
        <v>633</v>
      </c>
      <c r="B205" s="21" t="s">
        <v>290</v>
      </c>
      <c r="C205" s="21" t="s">
        <v>92</v>
      </c>
      <c r="D205" s="21" t="s">
        <v>73</v>
      </c>
    </row>
    <row r="206" spans="1:4" s="21" customFormat="1" x14ac:dyDescent="0.25">
      <c r="A206" s="21">
        <v>454</v>
      </c>
      <c r="B206" s="21" t="s">
        <v>291</v>
      </c>
      <c r="C206" s="21" t="s">
        <v>78</v>
      </c>
      <c r="D206" s="21" t="s">
        <v>73</v>
      </c>
    </row>
    <row r="207" spans="1:4" s="21" customFormat="1" x14ac:dyDescent="0.25">
      <c r="A207" s="21">
        <v>142</v>
      </c>
      <c r="B207" s="21" t="s">
        <v>292</v>
      </c>
      <c r="C207" s="21" t="s">
        <v>72</v>
      </c>
      <c r="D207" s="21" t="s">
        <v>73</v>
      </c>
    </row>
    <row r="208" spans="1:4" s="21" customFormat="1" x14ac:dyDescent="0.25">
      <c r="A208" s="21">
        <v>128</v>
      </c>
      <c r="B208" s="21" t="s">
        <v>293</v>
      </c>
      <c r="C208" s="21" t="s">
        <v>78</v>
      </c>
      <c r="D208" s="21" t="s">
        <v>73</v>
      </c>
    </row>
    <row r="209" spans="1:4" s="21" customFormat="1" x14ac:dyDescent="0.25">
      <c r="A209" s="21">
        <v>654</v>
      </c>
      <c r="B209" s="21" t="s">
        <v>294</v>
      </c>
      <c r="C209" s="21" t="s">
        <v>83</v>
      </c>
      <c r="D209" s="21" t="s">
        <v>73</v>
      </c>
    </row>
    <row r="210" spans="1:4" s="21" customFormat="1" x14ac:dyDescent="0.25">
      <c r="A210" s="21">
        <v>607</v>
      </c>
      <c r="B210" s="21" t="s">
        <v>295</v>
      </c>
      <c r="C210" s="21" t="s">
        <v>72</v>
      </c>
      <c r="D210" s="21" t="s">
        <v>73</v>
      </c>
    </row>
    <row r="211" spans="1:4" s="21" customFormat="1" x14ac:dyDescent="0.25">
      <c r="A211" s="21">
        <v>451</v>
      </c>
      <c r="B211" s="21" t="s">
        <v>296</v>
      </c>
      <c r="C211" s="21" t="s">
        <v>78</v>
      </c>
      <c r="D211" s="21" t="s">
        <v>73</v>
      </c>
    </row>
    <row r="212" spans="1:4" s="21" customFormat="1" x14ac:dyDescent="0.25">
      <c r="A212" s="21">
        <v>243</v>
      </c>
      <c r="B212" s="21" t="s">
        <v>297</v>
      </c>
      <c r="C212" s="21" t="s">
        <v>75</v>
      </c>
      <c r="D212" s="21" t="s">
        <v>73</v>
      </c>
    </row>
    <row r="213" spans="1:4" s="21" customFormat="1" x14ac:dyDescent="0.25">
      <c r="A213" s="21">
        <v>424</v>
      </c>
      <c r="B213" s="21" t="s">
        <v>298</v>
      </c>
      <c r="C213" s="21" t="s">
        <v>72</v>
      </c>
      <c r="D213" s="21" t="s">
        <v>73</v>
      </c>
    </row>
    <row r="214" spans="1:4" s="21" customFormat="1" x14ac:dyDescent="0.25">
      <c r="A214" s="21">
        <v>616</v>
      </c>
      <c r="B214" s="21" t="s">
        <v>299</v>
      </c>
      <c r="C214" s="21" t="s">
        <v>116</v>
      </c>
      <c r="D214" s="21" t="s">
        <v>73</v>
      </c>
    </row>
    <row r="215" spans="1:4" s="21" customFormat="1" x14ac:dyDescent="0.25">
      <c r="A215" s="21">
        <v>462</v>
      </c>
      <c r="B215" s="21" t="s">
        <v>300</v>
      </c>
      <c r="C215" s="21" t="s">
        <v>81</v>
      </c>
      <c r="D215" s="21" t="s">
        <v>73</v>
      </c>
    </row>
    <row r="216" spans="1:4" s="21" customFormat="1" x14ac:dyDescent="0.25">
      <c r="A216" s="21">
        <v>369</v>
      </c>
      <c r="B216" s="21" t="s">
        <v>301</v>
      </c>
      <c r="C216" s="21" t="s">
        <v>83</v>
      </c>
      <c r="D216" s="21" t="s">
        <v>73</v>
      </c>
    </row>
    <row r="217" spans="1:4" s="21" customFormat="1" x14ac:dyDescent="0.25">
      <c r="A217" s="21">
        <v>346</v>
      </c>
      <c r="B217" s="21" t="s">
        <v>302</v>
      </c>
      <c r="C217" s="21" t="s">
        <v>83</v>
      </c>
      <c r="D217" s="21" t="s">
        <v>73</v>
      </c>
    </row>
    <row r="218" spans="1:4" s="21" customFormat="1" x14ac:dyDescent="0.25">
      <c r="A218" s="21">
        <v>676</v>
      </c>
      <c r="B218" s="21" t="s">
        <v>303</v>
      </c>
      <c r="C218" s="21" t="s">
        <v>81</v>
      </c>
      <c r="D218" s="21" t="s">
        <v>167</v>
      </c>
    </row>
    <row r="219" spans="1:4" s="21" customFormat="1" x14ac:dyDescent="0.25">
      <c r="A219" s="21">
        <v>602</v>
      </c>
      <c r="B219" s="21" t="s">
        <v>304</v>
      </c>
      <c r="C219" s="21" t="s">
        <v>75</v>
      </c>
      <c r="D219" s="21" t="s">
        <v>73</v>
      </c>
    </row>
    <row r="220" spans="1:4" s="21" customFormat="1" x14ac:dyDescent="0.25">
      <c r="A220" s="21">
        <v>111</v>
      </c>
      <c r="B220" s="21" t="s">
        <v>305</v>
      </c>
      <c r="C220" s="21" t="s">
        <v>92</v>
      </c>
      <c r="D220" s="21" t="s">
        <v>73</v>
      </c>
    </row>
    <row r="221" spans="1:4" s="21" customFormat="1" x14ac:dyDescent="0.25">
      <c r="A221" s="21">
        <v>141</v>
      </c>
      <c r="B221" s="21" t="s">
        <v>306</v>
      </c>
      <c r="C221" s="21" t="s">
        <v>72</v>
      </c>
      <c r="D221" s="21" t="s">
        <v>73</v>
      </c>
    </row>
    <row r="222" spans="1:4" s="21" customFormat="1" x14ac:dyDescent="0.25">
      <c r="A222" s="21">
        <v>655</v>
      </c>
      <c r="B222" s="21" t="s">
        <v>307</v>
      </c>
      <c r="C222" s="21" t="s">
        <v>87</v>
      </c>
      <c r="D222" s="21" t="s">
        <v>73</v>
      </c>
    </row>
    <row r="223" spans="1:4" s="21" customFormat="1" x14ac:dyDescent="0.25">
      <c r="A223" s="21">
        <v>656</v>
      </c>
      <c r="B223" s="21" t="s">
        <v>308</v>
      </c>
      <c r="C223" s="21" t="s">
        <v>87</v>
      </c>
      <c r="D223" s="21" t="s">
        <v>73</v>
      </c>
    </row>
    <row r="224" spans="1:4" s="21" customFormat="1" x14ac:dyDescent="0.25">
      <c r="A224" s="21">
        <v>236</v>
      </c>
      <c r="B224" s="21" t="s">
        <v>309</v>
      </c>
      <c r="C224" s="21" t="s">
        <v>75</v>
      </c>
      <c r="D224" s="21" t="s">
        <v>73</v>
      </c>
    </row>
    <row r="225" spans="1:4" s="21" customFormat="1" x14ac:dyDescent="0.25">
      <c r="A225" s="21">
        <v>584</v>
      </c>
      <c r="B225" s="21" t="s">
        <v>310</v>
      </c>
      <c r="C225" s="21" t="s">
        <v>72</v>
      </c>
      <c r="D225" s="21" t="s">
        <v>73</v>
      </c>
    </row>
    <row r="226" spans="1:4" s="21" customFormat="1" x14ac:dyDescent="0.25">
      <c r="A226" s="21">
        <v>677</v>
      </c>
      <c r="B226" s="21" t="s">
        <v>311</v>
      </c>
      <c r="C226" s="21" t="s">
        <v>81</v>
      </c>
      <c r="D226" s="21" t="s">
        <v>73</v>
      </c>
    </row>
    <row r="227" spans="1:4" s="21" customFormat="1" x14ac:dyDescent="0.25">
      <c r="A227" s="21">
        <v>632</v>
      </c>
      <c r="B227" s="21" t="s">
        <v>312</v>
      </c>
      <c r="C227" s="21" t="s">
        <v>89</v>
      </c>
      <c r="D227" s="21" t="s">
        <v>73</v>
      </c>
    </row>
    <row r="228" spans="1:4" s="21" customFormat="1" x14ac:dyDescent="0.25">
      <c r="A228" s="21">
        <v>212</v>
      </c>
      <c r="B228" s="21" t="s">
        <v>313</v>
      </c>
      <c r="C228" s="21" t="s">
        <v>96</v>
      </c>
      <c r="D228" s="21" t="s">
        <v>73</v>
      </c>
    </row>
    <row r="229" spans="1:4" s="21" customFormat="1" x14ac:dyDescent="0.25">
      <c r="A229" s="21">
        <v>567</v>
      </c>
      <c r="B229" s="21" t="s">
        <v>314</v>
      </c>
      <c r="C229" s="21" t="s">
        <v>116</v>
      </c>
      <c r="D229" s="21" t="s">
        <v>73</v>
      </c>
    </row>
    <row r="230" spans="1:4" s="21" customFormat="1" x14ac:dyDescent="0.25">
      <c r="A230" s="21">
        <v>411</v>
      </c>
      <c r="B230" s="21" t="s">
        <v>315</v>
      </c>
      <c r="C230" s="21" t="s">
        <v>72</v>
      </c>
      <c r="D230" s="21" t="s">
        <v>73</v>
      </c>
    </row>
    <row r="231" spans="1:4" s="21" customFormat="1" x14ac:dyDescent="0.25">
      <c r="A231" s="21">
        <v>534</v>
      </c>
      <c r="B231" s="21" t="s">
        <v>316</v>
      </c>
      <c r="C231" s="21" t="s">
        <v>78</v>
      </c>
      <c r="D231" s="21" t="s">
        <v>73</v>
      </c>
    </row>
    <row r="232" spans="1:4" s="21" customFormat="1" x14ac:dyDescent="0.25">
      <c r="A232" s="21">
        <v>112</v>
      </c>
      <c r="B232" s="21" t="s">
        <v>317</v>
      </c>
      <c r="C232" s="21" t="s">
        <v>92</v>
      </c>
      <c r="D232" s="21" t="s">
        <v>73</v>
      </c>
    </row>
    <row r="233" spans="1:4" s="21" customFormat="1" x14ac:dyDescent="0.25">
      <c r="A233" s="21">
        <v>414</v>
      </c>
      <c r="B233" s="21" t="s">
        <v>318</v>
      </c>
      <c r="C233" s="21" t="s">
        <v>89</v>
      </c>
      <c r="D233" s="21" t="s">
        <v>73</v>
      </c>
    </row>
    <row r="234" spans="1:4" s="21" customFormat="1" x14ac:dyDescent="0.25">
      <c r="A234" s="21">
        <v>662</v>
      </c>
      <c r="B234" s="21" t="s">
        <v>319</v>
      </c>
      <c r="C234" s="21" t="s">
        <v>96</v>
      </c>
      <c r="D234" s="21" t="s">
        <v>73</v>
      </c>
    </row>
    <row r="235" spans="1:4" s="21" customFormat="1" x14ac:dyDescent="0.25">
      <c r="A235" s="21">
        <v>224</v>
      </c>
      <c r="B235" s="21" t="s">
        <v>320</v>
      </c>
      <c r="C235" s="21" t="s">
        <v>87</v>
      </c>
      <c r="D235" s="21" t="s">
        <v>73</v>
      </c>
    </row>
    <row r="236" spans="1:4" s="21" customFormat="1" x14ac:dyDescent="0.25">
      <c r="A236" s="21">
        <v>125</v>
      </c>
      <c r="B236" s="21" t="s">
        <v>321</v>
      </c>
      <c r="C236" s="21" t="s">
        <v>78</v>
      </c>
      <c r="D236" s="21" t="s">
        <v>73</v>
      </c>
    </row>
    <row r="237" spans="1:4" s="21" customFormat="1" x14ac:dyDescent="0.25">
      <c r="A237" s="21">
        <v>340</v>
      </c>
      <c r="B237" s="21" t="s">
        <v>322</v>
      </c>
      <c r="C237" s="21" t="s">
        <v>89</v>
      </c>
      <c r="D237" s="21" t="s">
        <v>73</v>
      </c>
    </row>
    <row r="238" spans="1:4" s="21" customFormat="1" x14ac:dyDescent="0.25">
      <c r="A238" s="21">
        <v>353</v>
      </c>
      <c r="B238" s="21" t="s">
        <v>323</v>
      </c>
      <c r="C238" s="21" t="s">
        <v>72</v>
      </c>
      <c r="D238" s="21" t="s">
        <v>73</v>
      </c>
    </row>
    <row r="239" spans="1:4" s="21" customFormat="1" x14ac:dyDescent="0.25">
      <c r="A239" s="21">
        <v>652</v>
      </c>
      <c r="B239" s="21" t="s">
        <v>324</v>
      </c>
      <c r="C239" s="21" t="s">
        <v>83</v>
      </c>
      <c r="D239" s="21" t="s">
        <v>73</v>
      </c>
    </row>
    <row r="240" spans="1:4" s="21" customFormat="1" x14ac:dyDescent="0.25">
      <c r="A240" s="21">
        <v>357</v>
      </c>
      <c r="B240" s="21" t="s">
        <v>325</v>
      </c>
      <c r="C240" s="21" t="s">
        <v>89</v>
      </c>
      <c r="D240" s="21" t="s">
        <v>73</v>
      </c>
    </row>
    <row r="241" spans="1:4" s="21" customFormat="1" x14ac:dyDescent="0.25">
      <c r="A241" s="21">
        <v>377</v>
      </c>
      <c r="B241" s="21" t="s">
        <v>326</v>
      </c>
      <c r="C241" s="21" t="s">
        <v>72</v>
      </c>
      <c r="D241" s="21" t="s">
        <v>73</v>
      </c>
    </row>
    <row r="242" spans="1:4" s="21" customFormat="1" x14ac:dyDescent="0.25">
      <c r="A242" s="21">
        <v>371</v>
      </c>
      <c r="B242" s="21" t="s">
        <v>327</v>
      </c>
      <c r="C242" s="21" t="s">
        <v>83</v>
      </c>
      <c r="D242" s="21" t="s">
        <v>73</v>
      </c>
    </row>
    <row r="243" spans="1:4" s="21" customFormat="1" x14ac:dyDescent="0.25">
      <c r="A243" s="21">
        <v>446</v>
      </c>
      <c r="B243" s="21" t="s">
        <v>328</v>
      </c>
      <c r="C243" s="21" t="s">
        <v>78</v>
      </c>
      <c r="D243" s="21" t="s">
        <v>73</v>
      </c>
    </row>
    <row r="244" spans="1:4" s="21" customFormat="1" x14ac:dyDescent="0.25">
      <c r="A244" s="21">
        <v>433</v>
      </c>
      <c r="B244" s="21" t="s">
        <v>329</v>
      </c>
      <c r="C244" s="21" t="s">
        <v>72</v>
      </c>
      <c r="D244" s="21" t="s">
        <v>73</v>
      </c>
    </row>
    <row r="245" spans="1:4" s="21" customFormat="1" x14ac:dyDescent="0.25">
      <c r="A245" s="21">
        <v>248</v>
      </c>
      <c r="B245" s="21" t="s">
        <v>330</v>
      </c>
      <c r="C245" s="21" t="s">
        <v>81</v>
      </c>
      <c r="D245" s="21" t="s">
        <v>73</v>
      </c>
    </row>
    <row r="246" spans="1:4" s="21" customFormat="1" x14ac:dyDescent="0.25">
      <c r="A246" s="21">
        <v>472</v>
      </c>
      <c r="B246" s="21" t="s">
        <v>331</v>
      </c>
      <c r="C246" s="21" t="s">
        <v>89</v>
      </c>
      <c r="D246" s="21" t="s">
        <v>73</v>
      </c>
    </row>
    <row r="247" spans="1:4" s="21" customFormat="1" x14ac:dyDescent="0.25">
      <c r="A247" s="21">
        <v>240</v>
      </c>
      <c r="B247" s="21" t="s">
        <v>332</v>
      </c>
      <c r="C247" s="21" t="s">
        <v>75</v>
      </c>
      <c r="D247" s="21" t="s">
        <v>73</v>
      </c>
    </row>
    <row r="248" spans="1:4" s="21" customFormat="1" x14ac:dyDescent="0.25">
      <c r="A248" s="21">
        <v>456</v>
      </c>
      <c r="B248" s="21" t="s">
        <v>333</v>
      </c>
      <c r="C248" s="21" t="s">
        <v>72</v>
      </c>
      <c r="D248" s="21" t="s">
        <v>73</v>
      </c>
    </row>
    <row r="249" spans="1:4" s="21" customFormat="1" x14ac:dyDescent="0.25">
      <c r="A249" s="21">
        <v>217</v>
      </c>
      <c r="B249" s="21" t="s">
        <v>334</v>
      </c>
      <c r="C249" s="21" t="s">
        <v>96</v>
      </c>
      <c r="D249" s="21" t="s">
        <v>73</v>
      </c>
    </row>
    <row r="250" spans="1:4" s="21" customFormat="1" x14ac:dyDescent="0.25">
      <c r="A250" s="21">
        <v>682</v>
      </c>
      <c r="B250" s="21" t="s">
        <v>335</v>
      </c>
      <c r="C250" s="21" t="s">
        <v>147</v>
      </c>
      <c r="D250" s="21" t="s">
        <v>73</v>
      </c>
    </row>
    <row r="251" spans="1:4" s="21" customFormat="1" x14ac:dyDescent="0.25">
      <c r="A251" s="21">
        <v>365</v>
      </c>
      <c r="B251" s="21" t="s">
        <v>336</v>
      </c>
      <c r="C251" s="21" t="s">
        <v>89</v>
      </c>
      <c r="D251" s="21" t="s">
        <v>73</v>
      </c>
    </row>
    <row r="252" spans="1:4" s="21" customFormat="1" x14ac:dyDescent="0.25">
      <c r="A252" s="21">
        <v>138</v>
      </c>
      <c r="B252" s="21" t="s">
        <v>337</v>
      </c>
      <c r="C252" s="21" t="s">
        <v>72</v>
      </c>
      <c r="D252" s="21" t="s">
        <v>73</v>
      </c>
    </row>
    <row r="253" spans="1:4" s="21" customFormat="1" x14ac:dyDescent="0.25">
      <c r="A253" s="21">
        <v>228</v>
      </c>
      <c r="B253" s="21" t="s">
        <v>338</v>
      </c>
      <c r="C253" s="21" t="s">
        <v>281</v>
      </c>
      <c r="D253" s="21" t="s">
        <v>73</v>
      </c>
    </row>
    <row r="254" spans="1:4" s="21" customFormat="1" x14ac:dyDescent="0.25">
      <c r="A254" s="21">
        <v>305</v>
      </c>
      <c r="B254" s="21" t="s">
        <v>339</v>
      </c>
      <c r="C254" s="21" t="s">
        <v>87</v>
      </c>
      <c r="D254" s="21" t="s">
        <v>73</v>
      </c>
    </row>
    <row r="255" spans="1:4" s="21" customFormat="1" x14ac:dyDescent="0.25">
      <c r="A255" s="21">
        <v>202</v>
      </c>
      <c r="B255" s="21" t="s">
        <v>340</v>
      </c>
      <c r="C255" s="21" t="s">
        <v>116</v>
      </c>
      <c r="D255" s="21" t="s">
        <v>73</v>
      </c>
    </row>
    <row r="256" spans="1:4" s="21" customFormat="1" x14ac:dyDescent="0.25">
      <c r="A256" s="21">
        <v>683</v>
      </c>
      <c r="B256" s="21" t="s">
        <v>341</v>
      </c>
      <c r="C256" s="21" t="s">
        <v>87</v>
      </c>
      <c r="D256" s="21" t="s">
        <v>73</v>
      </c>
    </row>
    <row r="257" spans="1:4" s="21" customFormat="1" x14ac:dyDescent="0.25">
      <c r="A257" s="21">
        <v>510</v>
      </c>
      <c r="B257" s="21" t="s">
        <v>342</v>
      </c>
      <c r="C257" s="21" t="s">
        <v>92</v>
      </c>
      <c r="D257" s="21" t="s">
        <v>167</v>
      </c>
    </row>
    <row r="258" spans="1:4" s="21" customFormat="1" x14ac:dyDescent="0.25">
      <c r="A258" s="21">
        <v>603</v>
      </c>
      <c r="B258" s="21" t="s">
        <v>343</v>
      </c>
      <c r="C258" s="21" t="s">
        <v>75</v>
      </c>
      <c r="D258" s="21" t="s">
        <v>73</v>
      </c>
    </row>
    <row r="259" spans="1:4" s="21" customFormat="1" x14ac:dyDescent="0.25">
      <c r="A259" s="21">
        <v>494</v>
      </c>
      <c r="B259" s="21" t="s">
        <v>344</v>
      </c>
      <c r="C259" s="21" t="s">
        <v>78</v>
      </c>
      <c r="D259" s="21" t="s">
        <v>73</v>
      </c>
    </row>
    <row r="260" spans="1:4" s="21" customFormat="1" x14ac:dyDescent="0.25">
      <c r="A260" s="21">
        <v>665</v>
      </c>
      <c r="B260" s="21" t="s">
        <v>345</v>
      </c>
      <c r="C260" s="21" t="s">
        <v>281</v>
      </c>
      <c r="D260" s="21" t="s">
        <v>73</v>
      </c>
    </row>
    <row r="261" spans="1:4" s="21" customFormat="1" x14ac:dyDescent="0.25">
      <c r="A261" s="21">
        <v>304</v>
      </c>
      <c r="B261" s="21" t="s">
        <v>346</v>
      </c>
      <c r="C261" s="21" t="s">
        <v>96</v>
      </c>
      <c r="D261" s="21" t="s">
        <v>73</v>
      </c>
    </row>
    <row r="262" spans="1:4" s="21" customFormat="1" x14ac:dyDescent="0.25">
      <c r="A262" s="21">
        <v>184</v>
      </c>
      <c r="B262" s="21" t="s">
        <v>347</v>
      </c>
      <c r="C262" s="21" t="s">
        <v>87</v>
      </c>
      <c r="D262" s="21" t="s">
        <v>73</v>
      </c>
    </row>
    <row r="263" spans="1:4" s="21" customFormat="1" x14ac:dyDescent="0.25">
      <c r="A263" s="21">
        <v>684</v>
      </c>
      <c r="B263" s="21" t="s">
        <v>348</v>
      </c>
      <c r="C263" s="21" t="s">
        <v>87</v>
      </c>
      <c r="D263" s="21" t="s">
        <v>73</v>
      </c>
    </row>
    <row r="264" spans="1:4" s="21" customFormat="1" x14ac:dyDescent="0.25">
      <c r="A264" s="21">
        <v>430</v>
      </c>
      <c r="B264" s="21" t="s">
        <v>349</v>
      </c>
      <c r="C264" s="21" t="s">
        <v>89</v>
      </c>
      <c r="D264" s="21" t="s">
        <v>73</v>
      </c>
    </row>
    <row r="265" spans="1:4" s="21" customFormat="1" x14ac:dyDescent="0.25">
      <c r="A265" s="21">
        <v>455</v>
      </c>
      <c r="B265" s="21" t="s">
        <v>350</v>
      </c>
      <c r="C265" s="21" t="s">
        <v>72</v>
      </c>
      <c r="D265" s="21" t="s">
        <v>73</v>
      </c>
    </row>
    <row r="266" spans="1:4" s="21" customFormat="1" x14ac:dyDescent="0.25">
      <c r="A266" s="21">
        <v>643</v>
      </c>
      <c r="B266" s="21" t="s">
        <v>351</v>
      </c>
      <c r="C266" s="21" t="s">
        <v>72</v>
      </c>
      <c r="D266" s="21" t="s">
        <v>73</v>
      </c>
    </row>
    <row r="267" spans="1:4" s="21" customFormat="1" x14ac:dyDescent="0.25">
      <c r="A267" s="21">
        <v>612</v>
      </c>
      <c r="B267" s="21" t="s">
        <v>352</v>
      </c>
      <c r="C267" s="21" t="s">
        <v>96</v>
      </c>
      <c r="D267" s="21" t="s">
        <v>73</v>
      </c>
    </row>
    <row r="268" spans="1:4" s="21" customFormat="1" x14ac:dyDescent="0.25">
      <c r="A268" s="21">
        <v>419</v>
      </c>
      <c r="B268" s="21" t="s">
        <v>353</v>
      </c>
      <c r="C268" s="21" t="s">
        <v>87</v>
      </c>
      <c r="D268" s="21" t="s">
        <v>73</v>
      </c>
    </row>
    <row r="269" spans="1:4" s="21" customFormat="1" x14ac:dyDescent="0.25">
      <c r="A269" s="21">
        <v>196</v>
      </c>
      <c r="B269" s="21" t="s">
        <v>354</v>
      </c>
      <c r="C269" s="21" t="s">
        <v>116</v>
      </c>
      <c r="D269" s="21" t="s">
        <v>73</v>
      </c>
    </row>
    <row r="270" spans="1:4" s="21" customFormat="1" x14ac:dyDescent="0.25">
      <c r="A270" s="21">
        <v>190</v>
      </c>
      <c r="B270" s="21" t="s">
        <v>355</v>
      </c>
      <c r="C270" s="21" t="s">
        <v>87</v>
      </c>
      <c r="D270" s="21" t="s">
        <v>73</v>
      </c>
    </row>
    <row r="271" spans="1:4" s="21" customFormat="1" x14ac:dyDescent="0.25">
      <c r="A271" s="21">
        <v>680</v>
      </c>
      <c r="B271" s="21" t="s">
        <v>356</v>
      </c>
      <c r="C271" s="21" t="s">
        <v>81</v>
      </c>
      <c r="D271" s="21" t="s">
        <v>73</v>
      </c>
    </row>
    <row r="272" spans="1:4" s="21" customFormat="1" x14ac:dyDescent="0.25">
      <c r="A272" s="21">
        <v>537</v>
      </c>
      <c r="B272" s="21" t="s">
        <v>357</v>
      </c>
      <c r="C272" s="21" t="s">
        <v>81</v>
      </c>
      <c r="D272" s="21" t="s">
        <v>73</v>
      </c>
    </row>
    <row r="273" spans="1:4" s="21" customFormat="1" x14ac:dyDescent="0.25">
      <c r="A273" s="21">
        <v>593</v>
      </c>
      <c r="B273" s="21" t="s">
        <v>358</v>
      </c>
      <c r="C273" s="21" t="s">
        <v>81</v>
      </c>
      <c r="D273" s="21" t="s">
        <v>73</v>
      </c>
    </row>
    <row r="274" spans="1:4" s="21" customFormat="1" x14ac:dyDescent="0.25">
      <c r="A274" s="21">
        <v>592</v>
      </c>
      <c r="B274" s="21" t="s">
        <v>359</v>
      </c>
      <c r="C274" s="21" t="s">
        <v>81</v>
      </c>
      <c r="D274" s="21" t="s">
        <v>73</v>
      </c>
    </row>
    <row r="275" spans="1:4" s="21" customFormat="1" x14ac:dyDescent="0.25">
      <c r="A275" s="21">
        <v>452</v>
      </c>
      <c r="B275" s="21" t="s">
        <v>360</v>
      </c>
      <c r="C275" s="21" t="s">
        <v>83</v>
      </c>
      <c r="D275" s="21" t="s">
        <v>73</v>
      </c>
    </row>
    <row r="276" spans="1:4" s="21" customFormat="1" x14ac:dyDescent="0.25">
      <c r="A276" s="21">
        <v>355</v>
      </c>
      <c r="B276" s="21" t="s">
        <v>361</v>
      </c>
      <c r="C276" s="21" t="s">
        <v>119</v>
      </c>
      <c r="D276" s="21" t="s">
        <v>73</v>
      </c>
    </row>
    <row r="277" spans="1:4" s="21" customFormat="1" x14ac:dyDescent="0.25">
      <c r="A277" s="21">
        <v>637</v>
      </c>
      <c r="B277" s="21" t="s">
        <v>362</v>
      </c>
      <c r="C277" s="21" t="s">
        <v>92</v>
      </c>
      <c r="D277" s="21" t="s">
        <v>73</v>
      </c>
    </row>
    <row r="278" spans="1:4" s="21" customFormat="1" x14ac:dyDescent="0.25">
      <c r="A278" s="21">
        <v>230</v>
      </c>
      <c r="B278" s="21" t="s">
        <v>363</v>
      </c>
      <c r="C278" s="21" t="s">
        <v>281</v>
      </c>
      <c r="D278" s="21" t="s">
        <v>73</v>
      </c>
    </row>
    <row r="279" spans="1:4" s="21" customFormat="1" x14ac:dyDescent="0.25">
      <c r="A279" s="21">
        <v>330</v>
      </c>
      <c r="B279" s="21" t="s">
        <v>364</v>
      </c>
      <c r="C279" s="21" t="s">
        <v>96</v>
      </c>
      <c r="D279" s="21" t="s">
        <v>73</v>
      </c>
    </row>
    <row r="280" spans="1:4" s="21" customFormat="1" x14ac:dyDescent="0.25">
      <c r="A280" s="21">
        <v>638</v>
      </c>
      <c r="B280" s="21" t="s">
        <v>365</v>
      </c>
      <c r="C280" s="21" t="s">
        <v>92</v>
      </c>
      <c r="D280" s="21" t="s">
        <v>73</v>
      </c>
    </row>
    <row r="281" spans="1:4" s="21" customFormat="1" x14ac:dyDescent="0.25">
      <c r="A281" s="21">
        <v>333</v>
      </c>
      <c r="B281" s="21" t="s">
        <v>366</v>
      </c>
      <c r="C281" s="21" t="s">
        <v>78</v>
      </c>
      <c r="D281" s="21" t="s">
        <v>73</v>
      </c>
    </row>
    <row r="282" spans="1:4" s="21" customFormat="1" x14ac:dyDescent="0.25">
      <c r="A282" s="21">
        <v>434</v>
      </c>
      <c r="B282" s="21" t="s">
        <v>367</v>
      </c>
      <c r="C282" s="21" t="s">
        <v>87</v>
      </c>
      <c r="D282" s="21" t="s">
        <v>73</v>
      </c>
    </row>
    <row r="283" spans="1:4" s="21" customFormat="1" x14ac:dyDescent="0.25">
      <c r="A283" s="21">
        <v>189</v>
      </c>
      <c r="B283" s="21" t="s">
        <v>368</v>
      </c>
      <c r="C283" s="21" t="s">
        <v>87</v>
      </c>
      <c r="D283" s="21" t="s">
        <v>73</v>
      </c>
    </row>
    <row r="284" spans="1:4" s="21" customFormat="1" x14ac:dyDescent="0.25">
      <c r="A284" s="21">
        <v>428</v>
      </c>
      <c r="B284" s="21" t="s">
        <v>369</v>
      </c>
      <c r="C284" s="21" t="s">
        <v>119</v>
      </c>
      <c r="D284" s="21" t="s">
        <v>73</v>
      </c>
    </row>
    <row r="285" spans="1:4" s="21" customFormat="1" x14ac:dyDescent="0.25">
      <c r="A285" s="21">
        <v>645</v>
      </c>
      <c r="B285" s="21" t="s">
        <v>370</v>
      </c>
      <c r="C285" s="21" t="s">
        <v>72</v>
      </c>
      <c r="D285" s="21" t="s">
        <v>73</v>
      </c>
    </row>
    <row r="286" spans="1:4" s="21" customFormat="1" x14ac:dyDescent="0.25">
      <c r="A286" s="21">
        <v>164</v>
      </c>
      <c r="B286" s="21" t="s">
        <v>371</v>
      </c>
      <c r="C286" s="21" t="s">
        <v>89</v>
      </c>
      <c r="D286" s="21" t="s">
        <v>73</v>
      </c>
    </row>
    <row r="287" spans="1:4" s="21" customFormat="1" x14ac:dyDescent="0.25">
      <c r="A287" s="21">
        <v>491</v>
      </c>
      <c r="B287" s="21" t="s">
        <v>372</v>
      </c>
      <c r="C287" s="21" t="s">
        <v>72</v>
      </c>
      <c r="D287" s="21" t="s">
        <v>73</v>
      </c>
    </row>
    <row r="288" spans="1:4" s="21" customFormat="1" x14ac:dyDescent="0.25">
      <c r="A288" s="21">
        <v>539</v>
      </c>
      <c r="B288" s="21" t="s">
        <v>373</v>
      </c>
      <c r="C288" s="21" t="s">
        <v>92</v>
      </c>
      <c r="D288" s="21" t="s">
        <v>73</v>
      </c>
    </row>
    <row r="289" spans="1:4" s="21" customFormat="1" x14ac:dyDescent="0.25">
      <c r="A289" s="21">
        <v>679</v>
      </c>
      <c r="B289" s="21" t="s">
        <v>374</v>
      </c>
      <c r="C289" s="21" t="s">
        <v>81</v>
      </c>
      <c r="D289" s="21" t="s">
        <v>73</v>
      </c>
    </row>
    <row r="290" spans="1:4" s="21" customFormat="1" x14ac:dyDescent="0.25">
      <c r="A290" s="21">
        <v>246</v>
      </c>
      <c r="B290" s="21" t="s">
        <v>375</v>
      </c>
      <c r="C290" s="21" t="s">
        <v>81</v>
      </c>
      <c r="D290" s="21" t="s">
        <v>73</v>
      </c>
    </row>
    <row r="291" spans="1:4" s="21" customFormat="1" x14ac:dyDescent="0.25">
      <c r="A291" s="21">
        <v>211</v>
      </c>
      <c r="B291" s="21" t="s">
        <v>376</v>
      </c>
      <c r="C291" s="21" t="s">
        <v>96</v>
      </c>
      <c r="D291" s="21" t="s">
        <v>73</v>
      </c>
    </row>
    <row r="292" spans="1:4" s="21" customFormat="1" x14ac:dyDescent="0.25">
      <c r="A292" s="21">
        <v>225</v>
      </c>
      <c r="B292" s="21" t="s">
        <v>377</v>
      </c>
      <c r="C292" s="21" t="s">
        <v>281</v>
      </c>
      <c r="D292" s="21" t="s">
        <v>73</v>
      </c>
    </row>
    <row r="293" spans="1:4" s="21" customFormat="1" x14ac:dyDescent="0.25">
      <c r="A293" s="21">
        <v>691</v>
      </c>
      <c r="B293" s="21" t="s">
        <v>378</v>
      </c>
      <c r="C293" s="21" t="s">
        <v>281</v>
      </c>
      <c r="D293" s="21" t="s">
        <v>73</v>
      </c>
    </row>
    <row r="294" spans="1:4" s="21" customFormat="1" x14ac:dyDescent="0.25">
      <c r="A294" s="21">
        <v>349</v>
      </c>
      <c r="B294" s="21" t="s">
        <v>379</v>
      </c>
      <c r="C294" s="21" t="s">
        <v>75</v>
      </c>
      <c r="D294" s="21" t="s">
        <v>73</v>
      </c>
    </row>
    <row r="295" spans="1:4" s="21" customFormat="1" x14ac:dyDescent="0.25">
      <c r="A295" s="21">
        <v>589</v>
      </c>
      <c r="B295" s="21" t="s">
        <v>380</v>
      </c>
      <c r="C295" s="21" t="s">
        <v>81</v>
      </c>
      <c r="D295" s="21" t="s">
        <v>73</v>
      </c>
    </row>
    <row r="296" spans="1:4" s="21" customFormat="1" x14ac:dyDescent="0.25">
      <c r="A296" s="21">
        <v>194</v>
      </c>
      <c r="B296" s="21" t="s">
        <v>381</v>
      </c>
      <c r="C296" s="21" t="s">
        <v>116</v>
      </c>
      <c r="D296" s="21" t="s">
        <v>73</v>
      </c>
    </row>
    <row r="297" spans="1:4" s="21" customFormat="1" x14ac:dyDescent="0.25">
      <c r="A297" s="21">
        <v>599</v>
      </c>
      <c r="B297" s="21" t="s">
        <v>382</v>
      </c>
      <c r="C297" s="21" t="s">
        <v>75</v>
      </c>
      <c r="D297" s="21" t="s">
        <v>73</v>
      </c>
    </row>
    <row r="298" spans="1:4" s="21" customFormat="1" x14ac:dyDescent="0.25">
      <c r="A298" s="21">
        <v>134</v>
      </c>
      <c r="B298" s="21" t="s">
        <v>383</v>
      </c>
      <c r="C298" s="21" t="s">
        <v>72</v>
      </c>
      <c r="D298" s="21" t="s">
        <v>73</v>
      </c>
    </row>
    <row r="299" spans="1:4" s="21" customFormat="1" x14ac:dyDescent="0.25">
      <c r="A299" s="21">
        <v>420</v>
      </c>
      <c r="B299" s="21" t="s">
        <v>384</v>
      </c>
      <c r="C299" s="21" t="s">
        <v>116</v>
      </c>
      <c r="D299" s="21" t="s">
        <v>73</v>
      </c>
    </row>
    <row r="300" spans="1:4" s="21" customFormat="1" x14ac:dyDescent="0.25">
      <c r="A300" s="21">
        <v>140</v>
      </c>
      <c r="B300" s="21" t="s">
        <v>385</v>
      </c>
      <c r="C300" s="21" t="s">
        <v>72</v>
      </c>
      <c r="D300" s="21" t="s">
        <v>73</v>
      </c>
    </row>
    <row r="301" spans="1:4" s="21" customFormat="1" x14ac:dyDescent="0.25">
      <c r="A301" s="21">
        <v>394</v>
      </c>
      <c r="B301" s="21" t="s">
        <v>386</v>
      </c>
      <c r="C301" s="21" t="s">
        <v>83</v>
      </c>
      <c r="D301" s="21" t="s">
        <v>73</v>
      </c>
    </row>
    <row r="302" spans="1:4" s="21" customFormat="1" x14ac:dyDescent="0.25">
      <c r="A302" s="21">
        <v>675</v>
      </c>
      <c r="B302" s="21" t="s">
        <v>387</v>
      </c>
      <c r="C302" s="21" t="s">
        <v>81</v>
      </c>
      <c r="D302" s="21" t="s">
        <v>73</v>
      </c>
    </row>
    <row r="303" spans="1:4" s="21" customFormat="1" x14ac:dyDescent="0.25">
      <c r="A303" s="21">
        <v>613</v>
      </c>
      <c r="B303" s="21" t="s">
        <v>388</v>
      </c>
      <c r="C303" s="21" t="s">
        <v>281</v>
      </c>
      <c r="D303" s="21" t="s">
        <v>73</v>
      </c>
    </row>
    <row r="304" spans="1:4" s="21" customFormat="1" x14ac:dyDescent="0.25">
      <c r="A304" s="21">
        <v>668</v>
      </c>
      <c r="B304" s="21" t="s">
        <v>389</v>
      </c>
      <c r="C304" s="21" t="s">
        <v>75</v>
      </c>
      <c r="D304" s="21" t="s">
        <v>73</v>
      </c>
    </row>
    <row r="305" spans="1:4" s="21" customFormat="1" x14ac:dyDescent="0.25">
      <c r="A305" s="21">
        <v>148</v>
      </c>
      <c r="B305" s="21" t="s">
        <v>390</v>
      </c>
      <c r="C305" s="21" t="s">
        <v>119</v>
      </c>
      <c r="D305" s="21" t="s">
        <v>73</v>
      </c>
    </row>
    <row r="306" spans="1:4" s="21" customFormat="1" x14ac:dyDescent="0.25">
      <c r="A306" s="21">
        <v>247</v>
      </c>
      <c r="B306" s="21" t="s">
        <v>391</v>
      </c>
      <c r="C306" s="21" t="s">
        <v>81</v>
      </c>
      <c r="D306" s="21" t="s">
        <v>73</v>
      </c>
    </row>
    <row r="307" spans="1:4" s="21" customFormat="1" x14ac:dyDescent="0.25">
      <c r="A307" s="21">
        <v>453</v>
      </c>
      <c r="B307" s="21" t="s">
        <v>392</v>
      </c>
      <c r="C307" s="21" t="s">
        <v>83</v>
      </c>
      <c r="D307" s="21" t="s">
        <v>73</v>
      </c>
    </row>
    <row r="308" spans="1:4" s="21" customFormat="1" x14ac:dyDescent="0.25">
      <c r="A308" s="21">
        <v>594</v>
      </c>
      <c r="B308" s="21" t="s">
        <v>393</v>
      </c>
      <c r="C308" s="21" t="s">
        <v>75</v>
      </c>
      <c r="D308" s="21" t="s">
        <v>73</v>
      </c>
    </row>
    <row r="309" spans="1:4" s="21" customFormat="1" x14ac:dyDescent="0.25">
      <c r="A309" s="21">
        <v>480</v>
      </c>
      <c r="B309" s="21" t="s">
        <v>394</v>
      </c>
      <c r="C309" s="21" t="s">
        <v>75</v>
      </c>
      <c r="D309" s="21" t="s">
        <v>73</v>
      </c>
    </row>
    <row r="310" spans="1:4" s="21" customFormat="1" x14ac:dyDescent="0.25">
      <c r="A310" s="21">
        <v>300</v>
      </c>
      <c r="B310" s="21" t="s">
        <v>395</v>
      </c>
      <c r="C310" s="21" t="s">
        <v>83</v>
      </c>
      <c r="D310" s="21" t="s">
        <v>73</v>
      </c>
    </row>
    <row r="311" spans="1:4" s="21" customFormat="1" x14ac:dyDescent="0.25">
      <c r="A311" s="21">
        <v>393</v>
      </c>
      <c r="B311" s="21" t="s">
        <v>396</v>
      </c>
      <c r="C311" s="21" t="s">
        <v>72</v>
      </c>
      <c r="D311" s="21" t="s">
        <v>73</v>
      </c>
    </row>
    <row r="312" spans="1:4" s="21" customFormat="1" x14ac:dyDescent="0.25">
      <c r="A312" s="21">
        <v>604</v>
      </c>
      <c r="B312" s="21" t="s">
        <v>397</v>
      </c>
      <c r="C312" s="21" t="s">
        <v>75</v>
      </c>
      <c r="D312" s="21" t="s">
        <v>73</v>
      </c>
    </row>
    <row r="313" spans="1:4" s="21" customFormat="1" x14ac:dyDescent="0.25">
      <c r="A313" s="21">
        <v>335</v>
      </c>
      <c r="B313" s="21" t="s">
        <v>398</v>
      </c>
      <c r="C313" s="21" t="s">
        <v>87</v>
      </c>
      <c r="D313" s="21" t="s">
        <v>73</v>
      </c>
    </row>
    <row r="314" spans="1:4" s="21" customFormat="1" x14ac:dyDescent="0.25">
      <c r="A314" s="21">
        <v>469</v>
      </c>
      <c r="B314" s="21" t="s">
        <v>399</v>
      </c>
      <c r="C314" s="21" t="s">
        <v>72</v>
      </c>
      <c r="D314" s="21" t="s">
        <v>73</v>
      </c>
    </row>
    <row r="315" spans="1:4" s="21" customFormat="1" x14ac:dyDescent="0.25">
      <c r="A315" s="21">
        <v>597</v>
      </c>
      <c r="B315" s="21" t="s">
        <v>400</v>
      </c>
      <c r="C315" s="21" t="s">
        <v>87</v>
      </c>
      <c r="D315" s="21" t="s">
        <v>73</v>
      </c>
    </row>
    <row r="316" spans="1:4" s="21" customFormat="1" x14ac:dyDescent="0.25">
      <c r="A316" s="21">
        <v>130</v>
      </c>
      <c r="B316" s="21" t="s">
        <v>401</v>
      </c>
      <c r="C316" s="21" t="s">
        <v>72</v>
      </c>
      <c r="D316" s="21" t="s">
        <v>73</v>
      </c>
    </row>
    <row r="317" spans="1:4" s="21" customFormat="1" x14ac:dyDescent="0.25">
      <c r="A317" s="21">
        <v>647</v>
      </c>
      <c r="B317" s="21" t="s">
        <v>402</v>
      </c>
      <c r="C317" s="21" t="s">
        <v>78</v>
      </c>
      <c r="D317" s="21" t="s">
        <v>73</v>
      </c>
    </row>
    <row r="318" spans="1:4" s="21" customFormat="1" x14ac:dyDescent="0.25">
      <c r="A318" s="21">
        <v>658</v>
      </c>
      <c r="B318" s="21" t="s">
        <v>403</v>
      </c>
      <c r="C318" s="21" t="s">
        <v>87</v>
      </c>
      <c r="D318" s="21" t="s">
        <v>167</v>
      </c>
    </row>
    <row r="319" spans="1:4" s="21" customFormat="1" x14ac:dyDescent="0.25">
      <c r="A319" s="21">
        <v>650</v>
      </c>
      <c r="B319" s="21" t="s">
        <v>404</v>
      </c>
      <c r="C319" s="21" t="s">
        <v>89</v>
      </c>
      <c r="D319" s="21" t="s">
        <v>73</v>
      </c>
    </row>
  </sheetData>
  <autoFilter ref="A1:D31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sheetData>
    <row r="1" spans="1:10" x14ac:dyDescent="0.25">
      <c r="A1" t="s">
        <v>405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411</v>
      </c>
      <c r="H1" t="s">
        <v>412</v>
      </c>
      <c r="J1" t="s">
        <v>413</v>
      </c>
    </row>
    <row r="2" spans="1:10" x14ac:dyDescent="0.25">
      <c r="A2" t="s">
        <v>414</v>
      </c>
      <c r="B2" t="s">
        <v>415</v>
      </c>
      <c r="C2" t="s">
        <v>416</v>
      </c>
      <c r="D2" t="s">
        <v>147</v>
      </c>
      <c r="E2" t="s">
        <v>417</v>
      </c>
      <c r="F2" t="s">
        <v>418</v>
      </c>
      <c r="G2" t="s">
        <v>419</v>
      </c>
      <c r="H2" t="s">
        <v>420</v>
      </c>
      <c r="J2" t="s">
        <v>421</v>
      </c>
    </row>
    <row r="3" spans="1:8" x14ac:dyDescent="0.25">
      <c r="A3">
        <f>IF('Workout 1'!$O$1="FILL",'Workout 1'!$C$3,"")</f>
      </c>
      <c r="B3" t="s">
        <v>422</v>
      </c>
      <c r="C3" t="s">
        <v>423</v>
      </c>
      <c r="D3" t="s">
        <v>72</v>
      </c>
      <c r="E3" t="s">
        <v>424</v>
      </c>
      <c r="F3" t="s">
        <v>425</v>
      </c>
      <c r="G3" t="s">
        <v>426</v>
      </c>
      <c r="H3" t="s">
        <v>427</v>
      </c>
    </row>
    <row r="4" spans="1:8" x14ac:dyDescent="0.25">
      <c r="A4">
        <f>IF('Workout 2'!$O$1="FILL",'Workout 2'!$C$3,"")</f>
      </c>
      <c r="B4" t="s">
        <v>428</v>
      </c>
      <c r="C4" t="s">
        <v>429</v>
      </c>
      <c r="D4" t="s">
        <v>89</v>
      </c>
      <c r="E4" t="s">
        <v>430</v>
      </c>
      <c r="G4" t="s">
        <v>431</v>
      </c>
      <c r="H4" t="s">
        <v>432</v>
      </c>
    </row>
    <row r="5" spans="1:8" x14ac:dyDescent="0.25">
      <c r="A5">
        <f>IF('Workout 3'!$O$1="FILL",'Workout 3'!$C$3,"")</f>
      </c>
      <c r="B5" t="s">
        <v>433</v>
      </c>
      <c r="C5" t="s">
        <v>434</v>
      </c>
      <c r="D5" t="s">
        <v>281</v>
      </c>
      <c r="E5" t="s">
        <v>435</v>
      </c>
      <c r="G5" t="s">
        <v>81</v>
      </c>
      <c r="H5" t="s">
        <v>436</v>
      </c>
    </row>
    <row r="6" spans="1:8" x14ac:dyDescent="0.25">
      <c r="A6">
        <f>IF('Workout 4'!$O$1="FILL",'Workout 4'!$C$3,"")</f>
      </c>
      <c r="B6" t="s">
        <v>437</v>
      </c>
      <c r="C6" t="s">
        <v>438</v>
      </c>
      <c r="D6" t="s">
        <v>92</v>
      </c>
      <c r="E6" t="s">
        <v>439</v>
      </c>
      <c r="G6" t="s">
        <v>440</v>
      </c>
      <c r="H6" t="s">
        <v>441</v>
      </c>
    </row>
    <row r="7" spans="1:8" x14ac:dyDescent="0.25">
      <c r="A7">
        <f>IF('Workout 5'!$O$1="FILL",'Workout 5'!$C$3,"")</f>
      </c>
      <c r="B7" t="s">
        <v>442</v>
      </c>
      <c r="C7" t="s">
        <v>443</v>
      </c>
      <c r="D7" t="s">
        <v>81</v>
      </c>
      <c r="E7" t="s">
        <v>444</v>
      </c>
      <c r="G7" t="s">
        <v>445</v>
      </c>
      <c r="H7" t="s">
        <v>446</v>
      </c>
    </row>
    <row r="8" spans="1:8" x14ac:dyDescent="0.25">
      <c r="A8">
        <f>IF('Workout 6'!$O$1="FILL",'Workout 6'!$C$3,"")</f>
      </c>
      <c r="B8" t="s">
        <v>447</v>
      </c>
      <c r="C8" t="s">
        <v>448</v>
      </c>
      <c r="D8" t="s">
        <v>75</v>
      </c>
      <c r="E8" t="s">
        <v>449</v>
      </c>
      <c r="G8" t="s">
        <v>450</v>
      </c>
      <c r="H8" t="s">
        <v>451</v>
      </c>
    </row>
    <row r="9" spans="1:8" x14ac:dyDescent="0.25">
      <c r="A9">
        <f>IF('Workout 7'!$O$1="FILL",'Workout 7'!$C$3,"")</f>
      </c>
      <c r="B9" t="s">
        <v>452</v>
      </c>
      <c r="C9" t="s">
        <v>453</v>
      </c>
      <c r="D9" t="s">
        <v>122</v>
      </c>
      <c r="E9" t="s">
        <v>454</v>
      </c>
      <c r="G9" t="s">
        <v>455</v>
      </c>
      <c r="H9" t="s">
        <v>456</v>
      </c>
    </row>
    <row r="10" spans="1:5" x14ac:dyDescent="0.25">
      <c r="A10">
        <f>IF('Workout 8'!$O$1="FILL",'Workout 8'!$C$3,"")</f>
      </c>
      <c r="D10" t="s">
        <v>96</v>
      </c>
      <c r="E10" t="s">
        <v>457</v>
      </c>
    </row>
    <row r="11" spans="1:5" x14ac:dyDescent="0.25">
      <c r="A11">
        <f>IF('Workout 9'!$O$1="FILL",'Workout 9'!$C$3,"")</f>
      </c>
      <c r="D11" t="s">
        <v>116</v>
      </c>
      <c r="E11" t="s">
        <v>458</v>
      </c>
    </row>
    <row r="12" spans="1:4" x14ac:dyDescent="0.25">
      <c r="A12">
        <f>IF('Workout 10'!$O$1="FILL",'Workout 10'!$C$3,"")</f>
      </c>
      <c r="D12" t="s">
        <v>87</v>
      </c>
    </row>
    <row r="13" spans="1:4" x14ac:dyDescent="0.25">
      <c r="A13">
        <f>IF('Workout 11'!$O$1="FILL",'Workout 11'!$C$3,"")</f>
      </c>
      <c r="D13" t="s">
        <v>78</v>
      </c>
    </row>
    <row r="14" spans="1:4" x14ac:dyDescent="0.25">
      <c r="A14">
        <f>IF('Workout 12'!$O$1="FILL",'Workout 12'!$C$3,"")</f>
      </c>
      <c r="D14" t="s">
        <v>119</v>
      </c>
    </row>
    <row r="15" spans="4:4" x14ac:dyDescent="0.25">
      <c r="D15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Start</vt:lpstr>
      <vt:lpstr>Workout 1</vt:lpstr>
      <vt:lpstr>Workout 2</vt:lpstr>
      <vt:lpstr>Workout 3</vt:lpstr>
      <vt:lpstr>Workout 4</vt:lpstr>
      <vt:lpstr>Workout 5</vt:lpstr>
      <vt:lpstr>Workout 6</vt:lpstr>
      <vt:lpstr>Workout 7</vt:lpstr>
      <vt:lpstr>Workout 8</vt:lpstr>
      <vt:lpstr>Workout 9</vt:lpstr>
      <vt:lpstr>Workout 10</vt:lpstr>
      <vt:lpstr>Workout 11</vt:lpstr>
      <vt:lpstr>Workout 12</vt:lpstr>
      <vt:lpstr>Schedule</vt:lpstr>
      <vt:lpstr>Exercise Library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RepLab</dc:creator>
  <dc:title/>
  <dc:subject/>
  <dc:description/>
  <cp:keywords/>
  <cp:category/>
  <cp:lastModifiedBy>Unknown</cp:lastModifiedBy>
  <dcterms:created xsi:type="dcterms:W3CDTF">2026-10-12T00:42:08Z</dcterms:created>
  <dcterms:modified xsi:type="dcterms:W3CDTF">2026-10-12T00:42:08Z</dcterms:modified>
</cp:coreProperties>
</file>