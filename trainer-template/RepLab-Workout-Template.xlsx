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tart" state="visible" r:id="rId4"/>
    <sheet sheetId="2" name="Workout 1" state="visible" r:id="rId5"/>
    <sheet sheetId="3" name="Workout 2" state="visible" r:id="rId6"/>
    <sheet sheetId="4" name="Workout 3" state="visible" r:id="rId7"/>
    <sheet sheetId="5" name="Workout 4" state="visible" r:id="rId8"/>
    <sheet sheetId="6" name="Workout 5" state="visible" r:id="rId9"/>
    <sheet sheetId="7" name="Workout 6" state="visible" r:id="rId10"/>
    <sheet sheetId="8" name="Workout 7" state="visible" r:id="rId11"/>
    <sheet sheetId="9" name="Workout 8" state="visible" r:id="rId12"/>
    <sheet sheetId="10" name="Workout 9" state="visible" r:id="rId13"/>
    <sheet sheetId="11" name="Workout 10" state="visible" r:id="rId14"/>
    <sheet sheetId="12" name="Workout 11" state="visible" r:id="rId15"/>
    <sheet sheetId="13" name="Workout 12" state="visible" r:id="rId16"/>
    <sheet sheetId="14" name="Schedule" state="visible" r:id="rId17"/>
    <sheet sheetId="15" name="Exercise Library" state="visible" r:id="rId18"/>
    <sheet sheetId="16" name="Lists" state="hidden" r:id="rId19"/>
  </sheets>
  <calcPr calcId="171027" fullCalcOnLoad="1"/>
</workbook>
</file>

<file path=xl/comments2.xml><?xml version="1.0" encoding="utf-8"?>
<comments xmlns="http://schemas.openxmlformats.org/spreadsheetml/2006/main">
  <authors>
    <author>Author</author>
  </authors>
  <commentList>
    <comment ref="C6" authorId="0">
      <text>
        <r>
          <t>Optional. A section title shown above this exercise in the app, e.g. "Warm-Up" or "Finisher". Leave blank if this exercise continues the section above.</t>
        </r>
      </text>
    </comment>
    <comment ref="E6" authorId="0">
      <text>
        <r>
          <t>Optional notes for the section.</t>
        </r>
      </text>
    </comment>
    <comment ref="C8" authorId="0">
      <text>
        <r>
          <t>Only if the exercise is not in the library. Leave the library box above blank and pick a muscle group to the right.</t>
        </r>
      </text>
    </comment>
    <comment ref="E8" authorId="0">
      <text>
        <r>
          <t>Muscle group — required for a custom exercise.</t>
        </r>
      </text>
    </comment>
    <comment ref="C9" authorId="0">
      <text>
        <r>
          <t>Optional. Give exercises the same letter (A, B, …) to superset them. Paired in the order listed (A1, A2, …).</t>
        </r>
      </text>
    </comment>
    <comment ref="E9" authorId="0">
      <text>
        <r>
          <t>Optional cues for the client: tempo, rest, form.</t>
        </r>
      </text>
    </comment>
    <comment ref="C10" authorId="0">
      <text>
        <r>
          <t>Blank = Regular (or Super Set when a superset letter is set).</t>
        </r>
      </text>
    </comment>
    <comment ref="D10" authorId="0">
      <text>
        <r>
          <t>Optional goal weight. Blank = bodyweight / client chooses.</t>
        </r>
      </text>
    </comment>
    <comment ref="E10" authorId="0">
      <text>
        <r>
          <t>Goal reps for this set. A set row counts once Goal Reps is filled in.</t>
        </r>
      </text>
    </comment>
    <comment ref="F10" authorId="0">
      <text>
        <r>
          <t>Optional, e.g. 8-12.</t>
        </r>
      </text>
    </comment>
    <comment ref="C20" authorId="0">
      <text>
        <r>
          <t>Optional. A section title shown above this exercise in the app, e.g. "Warm-Up" or "Finisher". Leave blank if this exercise continues the section above.</t>
        </r>
      </text>
    </comment>
    <comment ref="E20" authorId="0">
      <text>
        <r>
          <t>Optional notes for the section.</t>
        </r>
      </text>
    </comment>
    <comment ref="C22" authorId="0">
      <text>
        <r>
          <t>Only if the exercise is not in the library. Leave the library box above blank and pick a muscle group to the right.</t>
        </r>
      </text>
    </comment>
    <comment ref="E22" authorId="0">
      <text>
        <r>
          <t>Muscle group — required for a custom exercise.</t>
        </r>
      </text>
    </comment>
    <comment ref="C23" authorId="0">
      <text>
        <r>
          <t>Optional. Give exercises the same letter (A, B, …) to superset them. Paired in the order listed (A1, A2, …).</t>
        </r>
      </text>
    </comment>
    <comment ref="E23" authorId="0">
      <text>
        <r>
          <t>Optional cues for the client: tempo, rest, form.</t>
        </r>
      </text>
    </comment>
    <comment ref="C24" authorId="0">
      <text>
        <r>
          <t>Blank = Regular (or Super Set when a superset letter is set).</t>
        </r>
      </text>
    </comment>
    <comment ref="D24" authorId="0">
      <text>
        <r>
          <t>Optional goal weight. Blank = bodyweight / client chooses.</t>
        </r>
      </text>
    </comment>
    <comment ref="E24" authorId="0">
      <text>
        <r>
          <t>Goal reps for this set. A set row counts once Goal Reps is filled in.</t>
        </r>
      </text>
    </comment>
    <comment ref="F24" authorId="0">
      <text>
        <r>
          <t>Optional, e.g. 8-12.</t>
        </r>
      </text>
    </comment>
    <comment ref="C34" authorId="0">
      <text>
        <r>
          <t>Optional. A section title shown above this exercise in the app, e.g. "Warm-Up" or "Finisher". Leave blank if this exercise continues the section above.</t>
        </r>
      </text>
    </comment>
    <comment ref="E34" authorId="0">
      <text>
        <r>
          <t>Optional notes for the section.</t>
        </r>
      </text>
    </comment>
    <comment ref="C36" authorId="0">
      <text>
        <r>
          <t>Only if the exercise is not in the library. Leave the library box above blank and pick a muscle group to the right.</t>
        </r>
      </text>
    </comment>
    <comment ref="E36" authorId="0">
      <text>
        <r>
          <t>Muscle group — required for a custom exercise.</t>
        </r>
      </text>
    </comment>
    <comment ref="C37" authorId="0">
      <text>
        <r>
          <t>Optional. Give exercises the same letter (A, B, …) to superset them. Paired in the order listed (A1, A2, …).</t>
        </r>
      </text>
    </comment>
    <comment ref="E37" authorId="0">
      <text>
        <r>
          <t>Optional cues for the client: tempo, rest, form.</t>
        </r>
      </text>
    </comment>
    <comment ref="C38" authorId="0">
      <text>
        <r>
          <t>Blank = Regular (or Super Set when a superset letter is set).</t>
        </r>
      </text>
    </comment>
    <comment ref="D38" authorId="0">
      <text>
        <r>
          <t>Optional goal weight. Blank = bodyweight / client chooses.</t>
        </r>
      </text>
    </comment>
    <comment ref="E38" authorId="0">
      <text>
        <r>
          <t>Goal reps for this set. A set row counts once Goal Reps is filled in.</t>
        </r>
      </text>
    </comment>
    <comment ref="F38" authorId="0">
      <text>
        <r>
          <t>Optional, e.g. 8-12.</t>
        </r>
      </text>
    </comment>
    <comment ref="C48" authorId="0">
      <text>
        <r>
          <t>Optional. A section title shown above this exercise in the app, e.g. "Warm-Up" or "Finisher". Leave blank if this exercise continues the section above.</t>
        </r>
      </text>
    </comment>
    <comment ref="E48" authorId="0">
      <text>
        <r>
          <t>Optional notes for the section.</t>
        </r>
      </text>
    </comment>
    <comment ref="C50" authorId="0">
      <text>
        <r>
          <t>Only if the exercise is not in the library. Leave the library box above blank and pick a muscle group to the right.</t>
        </r>
      </text>
    </comment>
    <comment ref="E50" authorId="0">
      <text>
        <r>
          <t>Muscle group — required for a custom exercise.</t>
        </r>
      </text>
    </comment>
    <comment ref="C51" authorId="0">
      <text>
        <r>
          <t>Optional. Give exercises the same letter (A, B, …) to superset them. Paired in the order listed (A1, A2, …).</t>
        </r>
      </text>
    </comment>
    <comment ref="E51" authorId="0">
      <text>
        <r>
          <t>Optional cues for the client: tempo, rest, form.</t>
        </r>
      </text>
    </comment>
    <comment ref="C52" authorId="0">
      <text>
        <r>
          <t>Blank = Regular (or Super Set when a superset letter is set).</t>
        </r>
      </text>
    </comment>
    <comment ref="D52" authorId="0">
      <text>
        <r>
          <t>Optional goal weight. Blank = bodyweight / client chooses.</t>
        </r>
      </text>
    </comment>
    <comment ref="E52" authorId="0">
      <text>
        <r>
          <t>Goal reps for this set. A set row counts once Goal Reps is filled in.</t>
        </r>
      </text>
    </comment>
    <comment ref="F52" authorId="0">
      <text>
        <r>
          <t>Optional, e.g. 8-12.</t>
        </r>
      </text>
    </comment>
    <comment ref="C62" authorId="0">
      <text>
        <r>
          <t>Optional. A section title shown above this exercise in the app, e.g. "Warm-Up" or "Finisher". Leave blank if this exercise continues the section above.</t>
        </r>
      </text>
    </comment>
    <comment ref="E62" authorId="0">
      <text>
        <r>
          <t>Optional notes for the section.</t>
        </r>
      </text>
    </comment>
    <comment ref="C64" authorId="0">
      <text>
        <r>
          <t>Only if the exercise is not in the library. Leave the library box above blank and pick a muscle group to the right.</t>
        </r>
      </text>
    </comment>
    <comment ref="E64" authorId="0">
      <text>
        <r>
          <t>Muscle group — required for a custom exercise.</t>
        </r>
      </text>
    </comment>
    <comment ref="C65" authorId="0">
      <text>
        <r>
          <t>Optional. Give exercises the same letter (A, B, …) to superset them. Paired in the order listed (A1, A2, …).</t>
        </r>
      </text>
    </comment>
    <comment ref="E65" authorId="0">
      <text>
        <r>
          <t>Optional cues for the client: tempo, rest, form.</t>
        </r>
      </text>
    </comment>
    <comment ref="C66" authorId="0">
      <text>
        <r>
          <t>Blank = Regular (or Super Set when a superset letter is set).</t>
        </r>
      </text>
    </comment>
    <comment ref="D66" authorId="0">
      <text>
        <r>
          <t>Optional goal weight. Blank = bodyweight / client chooses.</t>
        </r>
      </text>
    </comment>
    <comment ref="E66" authorId="0">
      <text>
        <r>
          <t>Goal reps for this set. A set row counts once Goal Reps is filled in.</t>
        </r>
      </text>
    </comment>
    <comment ref="F66" authorId="0">
      <text>
        <r>
          <t>Optional, e.g. 8-12.</t>
        </r>
      </text>
    </comment>
    <comment ref="C76" authorId="0">
      <text>
        <r>
          <t>Optional. A section title shown above this exercise in the app, e.g. "Warm-Up" or "Finisher". Leave blank if this exercise continues the section above.</t>
        </r>
      </text>
    </comment>
    <comment ref="E76" authorId="0">
      <text>
        <r>
          <t>Optional notes for the section.</t>
        </r>
      </text>
    </comment>
    <comment ref="C78" authorId="0">
      <text>
        <r>
          <t>Only if the exercise is not in the library. Leave the library box above blank and pick a muscle group to the right.</t>
        </r>
      </text>
    </comment>
    <comment ref="E78" authorId="0">
      <text>
        <r>
          <t>Muscle group — required for a custom exercise.</t>
        </r>
      </text>
    </comment>
    <comment ref="C79" authorId="0">
      <text>
        <r>
          <t>Optional. Give exercises the same letter (A, B, …) to superset them. Paired in the order listed (A1, A2, …).</t>
        </r>
      </text>
    </comment>
    <comment ref="E79" authorId="0">
      <text>
        <r>
          <t>Optional cues for the client: tempo, rest, form.</t>
        </r>
      </text>
    </comment>
    <comment ref="C80" authorId="0">
      <text>
        <r>
          <t>Blank = Regular (or Super Set when a superset letter is set).</t>
        </r>
      </text>
    </comment>
    <comment ref="D80" authorId="0">
      <text>
        <r>
          <t>Optional goal weight. Blank = bodyweight / client chooses.</t>
        </r>
      </text>
    </comment>
    <comment ref="E80" authorId="0">
      <text>
        <r>
          <t>Goal reps for this set. A set row counts once Goal Reps is filled in.</t>
        </r>
      </text>
    </comment>
    <comment ref="F80" authorId="0">
      <text>
        <r>
          <t>Optional, e.g. 8-12.</t>
        </r>
      </text>
    </comment>
    <comment ref="C90" authorId="0">
      <text>
        <r>
          <t>Optional. A section title shown above this exercise in the app, e.g. "Warm-Up" or "Finisher". Leave blank if this exercise continues the section above.</t>
        </r>
      </text>
    </comment>
    <comment ref="E90" authorId="0">
      <text>
        <r>
          <t>Optional notes for the section.</t>
        </r>
      </text>
    </comment>
    <comment ref="C92" authorId="0">
      <text>
        <r>
          <t>Only if the exercise is not in the library. Leave the library box above blank and pick a muscle group to the right.</t>
        </r>
      </text>
    </comment>
    <comment ref="E92" authorId="0">
      <text>
        <r>
          <t>Muscle group — required for a custom exercise.</t>
        </r>
      </text>
    </comment>
    <comment ref="C93" authorId="0">
      <text>
        <r>
          <t>Optional. Give exercises the same letter (A, B, …) to superset them. Paired in the order listed (A1, A2, …).</t>
        </r>
      </text>
    </comment>
    <comment ref="E93" authorId="0">
      <text>
        <r>
          <t>Optional cues for the client: tempo, rest, form.</t>
        </r>
      </text>
    </comment>
    <comment ref="C94" authorId="0">
      <text>
        <r>
          <t>Blank = Regular (or Super Set when a superset letter is set).</t>
        </r>
      </text>
    </comment>
    <comment ref="D94" authorId="0">
      <text>
        <r>
          <t>Optional goal weight. Blank = bodyweight / client chooses.</t>
        </r>
      </text>
    </comment>
    <comment ref="E94" authorId="0">
      <text>
        <r>
          <t>Goal reps for this set. A set row counts once Goal Reps is filled in.</t>
        </r>
      </text>
    </comment>
    <comment ref="F94" authorId="0">
      <text>
        <r>
          <t>Optional, e.g. 8-12.</t>
        </r>
      </text>
    </comment>
    <comment ref="C104" authorId="0">
      <text>
        <r>
          <t>Optional. A section title shown above this exercise in the app, e.g. "Warm-Up" or "Finisher". Leave blank if this exercise continues the section above.</t>
        </r>
      </text>
    </comment>
    <comment ref="E104" authorId="0">
      <text>
        <r>
          <t>Optional notes for the section.</t>
        </r>
      </text>
    </comment>
    <comment ref="C106" authorId="0">
      <text>
        <r>
          <t>Only if the exercise is not in the library. Leave the library box above blank and pick a muscle group to the right.</t>
        </r>
      </text>
    </comment>
    <comment ref="E106" authorId="0">
      <text>
        <r>
          <t>Muscle group — required for a custom exercise.</t>
        </r>
      </text>
    </comment>
    <comment ref="C107" authorId="0">
      <text>
        <r>
          <t>Optional. Give exercises the same letter (A, B, …) to superset them. Paired in the order listed (A1, A2, …).</t>
        </r>
      </text>
    </comment>
    <comment ref="E107" authorId="0">
      <text>
        <r>
          <t>Optional cues for the client: tempo, rest, form.</t>
        </r>
      </text>
    </comment>
    <comment ref="C108" authorId="0">
      <text>
        <r>
          <t>Blank = Regular (or Super Set when a superset letter is set).</t>
        </r>
      </text>
    </comment>
    <comment ref="D108" authorId="0">
      <text>
        <r>
          <t>Optional goal weight. Blank = bodyweight / client chooses.</t>
        </r>
      </text>
    </comment>
    <comment ref="E108" authorId="0">
      <text>
        <r>
          <t>Goal reps for this set. A set row counts once Goal Reps is filled in.</t>
        </r>
      </text>
    </comment>
    <comment ref="F108" authorId="0">
      <text>
        <r>
          <t>Optional, e.g. 8-12.</t>
        </r>
      </text>
    </comment>
    <comment ref="C118" authorId="0">
      <text>
        <r>
          <t>Optional. A section title shown above this exercise in the app, e.g. "Warm-Up" or "Finisher". Leave blank if this exercise continues the section above.</t>
        </r>
      </text>
    </comment>
    <comment ref="E118" authorId="0">
      <text>
        <r>
          <t>Optional notes for the section.</t>
        </r>
      </text>
    </comment>
    <comment ref="C120" authorId="0">
      <text>
        <r>
          <t>Only if the exercise is not in the library. Leave the library box above blank and pick a muscle group to the right.</t>
        </r>
      </text>
    </comment>
    <comment ref="E120" authorId="0">
      <text>
        <r>
          <t>Muscle group — required for a custom exercise.</t>
        </r>
      </text>
    </comment>
    <comment ref="C121" authorId="0">
      <text>
        <r>
          <t>Optional. Give exercises the same letter (A, B, …) to superset them. Paired in the order listed (A1, A2, …).</t>
        </r>
      </text>
    </comment>
    <comment ref="E121" authorId="0">
      <text>
        <r>
          <t>Optional cues for the client: tempo, rest, form.</t>
        </r>
      </text>
    </comment>
    <comment ref="C122" authorId="0">
      <text>
        <r>
          <t>Blank = Regular (or Super Set when a superset letter is set).</t>
        </r>
      </text>
    </comment>
    <comment ref="D122" authorId="0">
      <text>
        <r>
          <t>Optional goal weight. Blank = bodyweight / client chooses.</t>
        </r>
      </text>
    </comment>
    <comment ref="E122" authorId="0">
      <text>
        <r>
          <t>Goal reps for this set. A set row counts once Goal Reps is filled in.</t>
        </r>
      </text>
    </comment>
    <comment ref="F122" authorId="0">
      <text>
        <r>
          <t>Optional, e.g. 8-12.</t>
        </r>
      </text>
    </comment>
    <comment ref="C132" authorId="0">
      <text>
        <r>
          <t>Optional. A section title shown above this exercise in the app, e.g. "Warm-Up" or "Finisher". Leave blank if this exercise continues the section above.</t>
        </r>
      </text>
    </comment>
    <comment ref="E132" authorId="0">
      <text>
        <r>
          <t>Optional notes for the section.</t>
        </r>
      </text>
    </comment>
    <comment ref="C134" authorId="0">
      <text>
        <r>
          <t>Only if the exercise is not in the library. Leave the library box above blank and pick a muscle group to the right.</t>
        </r>
      </text>
    </comment>
    <comment ref="E134" authorId="0">
      <text>
        <r>
          <t>Muscle group — required for a custom exercise.</t>
        </r>
      </text>
    </comment>
    <comment ref="C135" authorId="0">
      <text>
        <r>
          <t>Optional. Give exercises the same letter (A, B, …) to superset them. Paired in the order listed (A1, A2, …).</t>
        </r>
      </text>
    </comment>
    <comment ref="E135" authorId="0">
      <text>
        <r>
          <t>Optional cues for the client: tempo, rest, form.</t>
        </r>
      </text>
    </comment>
    <comment ref="C136" authorId="0">
      <text>
        <r>
          <t>Blank = Regular (or Super Set when a superset letter is set).</t>
        </r>
      </text>
    </comment>
    <comment ref="D136" authorId="0">
      <text>
        <r>
          <t>Optional goal weight. Blank = bodyweight / client chooses.</t>
        </r>
      </text>
    </comment>
    <comment ref="E136" authorId="0">
      <text>
        <r>
          <t>Goal reps for this set. A set row counts once Goal Reps is filled in.</t>
        </r>
      </text>
    </comment>
    <comment ref="F136" authorId="0">
      <text>
        <r>
          <t>Optional, e.g. 8-12.</t>
        </r>
      </text>
    </comment>
    <comment ref="C146" authorId="0">
      <text>
        <r>
          <t>Optional. A section title shown above this exercise in the app, e.g. "Warm-Up" or "Finisher". Leave blank if this exercise continues the section above.</t>
        </r>
      </text>
    </comment>
    <comment ref="E146" authorId="0">
      <text>
        <r>
          <t>Optional notes for the section.</t>
        </r>
      </text>
    </comment>
    <comment ref="C148" authorId="0">
      <text>
        <r>
          <t>Only if the exercise is not in the library. Leave the library box above blank and pick a muscle group to the right.</t>
        </r>
      </text>
    </comment>
    <comment ref="E148" authorId="0">
      <text>
        <r>
          <t>Muscle group — required for a custom exercise.</t>
        </r>
      </text>
    </comment>
    <comment ref="C149" authorId="0">
      <text>
        <r>
          <t>Optional. Give exercises the same letter (A, B, …) to superset them. Paired in the order listed (A1, A2, …).</t>
        </r>
      </text>
    </comment>
    <comment ref="E149" authorId="0">
      <text>
        <r>
          <t>Optional cues for the client: tempo, rest, form.</t>
        </r>
      </text>
    </comment>
    <comment ref="C150" authorId="0">
      <text>
        <r>
          <t>Blank = Regular (or Super Set when a superset letter is set).</t>
        </r>
      </text>
    </comment>
    <comment ref="D150" authorId="0">
      <text>
        <r>
          <t>Optional goal weight. Blank = bodyweight / client chooses.</t>
        </r>
      </text>
    </comment>
    <comment ref="E150" authorId="0">
      <text>
        <r>
          <t>Goal reps for this set. A set row counts once Goal Reps is filled in.</t>
        </r>
      </text>
    </comment>
    <comment ref="F150" authorId="0">
      <text>
        <r>
          <t>Optional, e.g. 8-12.</t>
        </r>
      </text>
    </comment>
    <comment ref="C160" authorId="0">
      <text>
        <r>
          <t>Optional. A section title shown above this exercise in the app, e.g. "Warm-Up" or "Finisher". Leave blank if this exercise continues the section above.</t>
        </r>
      </text>
    </comment>
    <comment ref="E160" authorId="0">
      <text>
        <r>
          <t>Optional notes for the section.</t>
        </r>
      </text>
    </comment>
    <comment ref="C162" authorId="0">
      <text>
        <r>
          <t>Only if the exercise is not in the library. Leave the library box above blank and pick a muscle group to the right.</t>
        </r>
      </text>
    </comment>
    <comment ref="E162" authorId="0">
      <text>
        <r>
          <t>Muscle group — required for a custom exercise.</t>
        </r>
      </text>
    </comment>
    <comment ref="C163" authorId="0">
      <text>
        <r>
          <t>Optional. Give exercises the same letter (A, B, …) to superset them. Paired in the order listed (A1, A2, …).</t>
        </r>
      </text>
    </comment>
    <comment ref="E163" authorId="0">
      <text>
        <r>
          <t>Optional cues for the client: tempo, rest, form.</t>
        </r>
      </text>
    </comment>
    <comment ref="C164" authorId="0">
      <text>
        <r>
          <t>Blank = Regular (or Super Set when a superset letter is set).</t>
        </r>
      </text>
    </comment>
    <comment ref="D164" authorId="0">
      <text>
        <r>
          <t>Optional goal weight. Blank = bodyweight / client chooses.</t>
        </r>
      </text>
    </comment>
    <comment ref="E164" authorId="0">
      <text>
        <r>
          <t>Goal reps for this set. A set row counts once Goal Reps is filled in.</t>
        </r>
      </text>
    </comment>
    <comment ref="F164" authorId="0">
      <text>
        <r>
          <t>Optional, e.g. 8-12.</t>
        </r>
      </text>
    </comment>
    <comment ref="C174" authorId="0">
      <text>
        <r>
          <t>Optional. A section title shown above this exercise in the app, e.g. "Warm-Up" or "Finisher". Leave blank if this exercise continues the section above.</t>
        </r>
      </text>
    </comment>
    <comment ref="E174" authorId="0">
      <text>
        <r>
          <t>Optional notes for the section.</t>
        </r>
      </text>
    </comment>
    <comment ref="C176" authorId="0">
      <text>
        <r>
          <t>Only if the exercise is not in the library. Leave the library box above blank and pick a muscle group to the right.</t>
        </r>
      </text>
    </comment>
    <comment ref="E176" authorId="0">
      <text>
        <r>
          <t>Muscle group — required for a custom exercise.</t>
        </r>
      </text>
    </comment>
    <comment ref="C177" authorId="0">
      <text>
        <r>
          <t>Optional. Give exercises the same letter (A, B, …) to superset them. Paired in the order listed (A1, A2, …).</t>
        </r>
      </text>
    </comment>
    <comment ref="E177" authorId="0">
      <text>
        <r>
          <t>Optional cues for the client: tempo, rest, form.</t>
        </r>
      </text>
    </comment>
    <comment ref="C178" authorId="0">
      <text>
        <r>
          <t>Blank = Regular (or Super Set when a superset letter is set).</t>
        </r>
      </text>
    </comment>
    <comment ref="D178" authorId="0">
      <text>
        <r>
          <t>Optional goal weight. Blank = bodyweight / client chooses.</t>
        </r>
      </text>
    </comment>
    <comment ref="E178" authorId="0">
      <text>
        <r>
          <t>Goal reps for this set. A set row counts once Goal Reps is filled in.</t>
        </r>
      </text>
    </comment>
    <comment ref="F178" authorId="0">
      <text>
        <r>
          <t>Optional, e.g. 8-12.</t>
        </r>
      </text>
    </comment>
    <comment ref="C188" authorId="0">
      <text>
        <r>
          <t>Optional. A section title shown above this exercise in the app, e.g. "Warm-Up" or "Finisher". Leave blank if this exercise continues the section above.</t>
        </r>
      </text>
    </comment>
    <comment ref="E188" authorId="0">
      <text>
        <r>
          <t>Optional notes for the section.</t>
        </r>
      </text>
    </comment>
    <comment ref="C190" authorId="0">
      <text>
        <r>
          <t>Only if the exercise is not in the library. Leave the library box above blank and pick a muscle group to the right.</t>
        </r>
      </text>
    </comment>
    <comment ref="E190" authorId="0">
      <text>
        <r>
          <t>Muscle group — required for a custom exercise.</t>
        </r>
      </text>
    </comment>
    <comment ref="C191" authorId="0">
      <text>
        <r>
          <t>Optional. Give exercises the same letter (A, B, …) to superset them. Paired in the order listed (A1, A2, …).</t>
        </r>
      </text>
    </comment>
    <comment ref="E191" authorId="0">
      <text>
        <r>
          <t>Optional cues for the client: tempo, rest, form.</t>
        </r>
      </text>
    </comment>
    <comment ref="C192" authorId="0">
      <text>
        <r>
          <t>Blank = Regular (or Super Set when a superset letter is set).</t>
        </r>
      </text>
    </comment>
    <comment ref="D192" authorId="0">
      <text>
        <r>
          <t>Optional goal weight. Blank = bodyweight / client chooses.</t>
        </r>
      </text>
    </comment>
    <comment ref="E192" authorId="0">
      <text>
        <r>
          <t>Goal reps for this set. A set row counts once Goal Reps is filled in.</t>
        </r>
      </text>
    </comment>
    <comment ref="F192" authorId="0">
      <text>
        <r>
          <t>Optional, e.g. 8-12.</t>
        </r>
      </text>
    </comment>
    <comment ref="C202" authorId="0">
      <text>
        <r>
          <t>Optional. A section title shown above this exercise in the app, e.g. "Warm-Up" or "Finisher". Leave blank if this exercise continues the section above.</t>
        </r>
      </text>
    </comment>
    <comment ref="E202" authorId="0">
      <text>
        <r>
          <t>Optional notes for the section.</t>
        </r>
      </text>
    </comment>
    <comment ref="C204" authorId="0">
      <text>
        <r>
          <t>Only if the exercise is not in the library. Leave the library box above blank and pick a muscle group to the right.</t>
        </r>
      </text>
    </comment>
    <comment ref="E204" authorId="0">
      <text>
        <r>
          <t>Muscle group — required for a custom exercise.</t>
        </r>
      </text>
    </comment>
    <comment ref="C205" authorId="0">
      <text>
        <r>
          <t>Optional. Give exercises the same letter (A, B, …) to superset them. Paired in the order listed (A1, A2, …).</t>
        </r>
      </text>
    </comment>
    <comment ref="E205" authorId="0">
      <text>
        <r>
          <t>Optional cues for the client: tempo, rest, form.</t>
        </r>
      </text>
    </comment>
    <comment ref="C206" authorId="0">
      <text>
        <r>
          <t>Blank = Regular (or Super Set when a superset letter is set).</t>
        </r>
      </text>
    </comment>
    <comment ref="D206" authorId="0">
      <text>
        <r>
          <t>Optional goal weight. Blank = bodyweight / client chooses.</t>
        </r>
      </text>
    </comment>
    <comment ref="E206" authorId="0">
      <text>
        <r>
          <t>Goal reps for this set. A set row counts once Goal Reps is filled in.</t>
        </r>
      </text>
    </comment>
    <comment ref="F206" authorId="0">
      <text>
        <r>
          <t>Optional, e.g. 8-12.</t>
        </r>
      </text>
    </comment>
  </commentList>
</comments>
</file>

<file path=xl/comments3.xml><?xml version="1.0" encoding="utf-8"?>
<comments xmlns="http://schemas.openxmlformats.org/spreadsheetml/2006/main">
  <authors>
    <author>Author</author>
  </authors>
  <commentList>
    <comment ref="C6" authorId="0">
      <text>
        <r>
          <t>Optional. A section title shown above this exercise in the app, e.g. "Warm-Up" or "Finisher". Leave blank if this exercise continues the section above.</t>
        </r>
      </text>
    </comment>
    <comment ref="E6" authorId="0">
      <text>
        <r>
          <t>Optional notes for the section.</t>
        </r>
      </text>
    </comment>
    <comment ref="C8" authorId="0">
      <text>
        <r>
          <t>Only if the exercise is not in the library. Leave the library box above blank and pick a muscle group to the right.</t>
        </r>
      </text>
    </comment>
    <comment ref="E8" authorId="0">
      <text>
        <r>
          <t>Muscle group — required for a custom exercise.</t>
        </r>
      </text>
    </comment>
    <comment ref="C9" authorId="0">
      <text>
        <r>
          <t>Optional. Give exercises the same letter (A, B, …) to superset them. Paired in the order listed (A1, A2, …).</t>
        </r>
      </text>
    </comment>
    <comment ref="E9" authorId="0">
      <text>
        <r>
          <t>Optional cues for the client: tempo, rest, form.</t>
        </r>
      </text>
    </comment>
    <comment ref="C10" authorId="0">
      <text>
        <r>
          <t>Blank = Regular (or Super Set when a superset letter is set).</t>
        </r>
      </text>
    </comment>
    <comment ref="D10" authorId="0">
      <text>
        <r>
          <t>Optional goal weight. Blank = bodyweight / client chooses.</t>
        </r>
      </text>
    </comment>
    <comment ref="E10" authorId="0">
      <text>
        <r>
          <t>Goal reps for this set. A set row counts once Goal Reps is filled in.</t>
        </r>
      </text>
    </comment>
    <comment ref="F10" authorId="0">
      <text>
        <r>
          <t>Optional, e.g. 8-12.</t>
        </r>
      </text>
    </comment>
    <comment ref="C20" authorId="0">
      <text>
        <r>
          <t>Optional. A section title shown above this exercise in the app, e.g. "Warm-Up" or "Finisher". Leave blank if this exercise continues the section above.</t>
        </r>
      </text>
    </comment>
    <comment ref="E20" authorId="0">
      <text>
        <r>
          <t>Optional notes for the section.</t>
        </r>
      </text>
    </comment>
    <comment ref="C22" authorId="0">
      <text>
        <r>
          <t>Only if the exercise is not in the library. Leave the library box above blank and pick a muscle group to the right.</t>
        </r>
      </text>
    </comment>
    <comment ref="E22" authorId="0">
      <text>
        <r>
          <t>Muscle group — required for a custom exercise.</t>
        </r>
      </text>
    </comment>
    <comment ref="C23" authorId="0">
      <text>
        <r>
          <t>Optional. Give exercises the same letter (A, B, …) to superset them. Paired in the order listed (A1, A2, …).</t>
        </r>
      </text>
    </comment>
    <comment ref="E23" authorId="0">
      <text>
        <r>
          <t>Optional cues for the client: tempo, rest, form.</t>
        </r>
      </text>
    </comment>
    <comment ref="C24" authorId="0">
      <text>
        <r>
          <t>Blank = Regular (or Super Set when a superset letter is set).</t>
        </r>
      </text>
    </comment>
    <comment ref="D24" authorId="0">
      <text>
        <r>
          <t>Optional goal weight. Blank = bodyweight / client chooses.</t>
        </r>
      </text>
    </comment>
    <comment ref="E24" authorId="0">
      <text>
        <r>
          <t>Goal reps for this set. A set row counts once Goal Reps is filled in.</t>
        </r>
      </text>
    </comment>
    <comment ref="F24" authorId="0">
      <text>
        <r>
          <t>Optional, e.g. 8-12.</t>
        </r>
      </text>
    </comment>
    <comment ref="C34" authorId="0">
      <text>
        <r>
          <t>Optional. A section title shown above this exercise in the app, e.g. "Warm-Up" or "Finisher". Leave blank if this exercise continues the section above.</t>
        </r>
      </text>
    </comment>
    <comment ref="E34" authorId="0">
      <text>
        <r>
          <t>Optional notes for the section.</t>
        </r>
      </text>
    </comment>
    <comment ref="C36" authorId="0">
      <text>
        <r>
          <t>Only if the exercise is not in the library. Leave the library box above blank and pick a muscle group to the right.</t>
        </r>
      </text>
    </comment>
    <comment ref="E36" authorId="0">
      <text>
        <r>
          <t>Muscle group — required for a custom exercise.</t>
        </r>
      </text>
    </comment>
    <comment ref="C37" authorId="0">
      <text>
        <r>
          <t>Optional. Give exercises the same letter (A, B, …) to superset them. Paired in the order listed (A1, A2, …).</t>
        </r>
      </text>
    </comment>
    <comment ref="E37" authorId="0">
      <text>
        <r>
          <t>Optional cues for the client: tempo, rest, form.</t>
        </r>
      </text>
    </comment>
    <comment ref="C38" authorId="0">
      <text>
        <r>
          <t>Blank = Regular (or Super Set when a superset letter is set).</t>
        </r>
      </text>
    </comment>
    <comment ref="D38" authorId="0">
      <text>
        <r>
          <t>Optional goal weight. Blank = bodyweight / client chooses.</t>
        </r>
      </text>
    </comment>
    <comment ref="E38" authorId="0">
      <text>
        <r>
          <t>Goal reps for this set. A set row counts once Goal Reps is filled in.</t>
        </r>
      </text>
    </comment>
    <comment ref="F38" authorId="0">
      <text>
        <r>
          <t>Optional, e.g. 8-12.</t>
        </r>
      </text>
    </comment>
    <comment ref="C48" authorId="0">
      <text>
        <r>
          <t>Optional. A section title shown above this exercise in the app, e.g. "Warm-Up" or "Finisher". Leave blank if this exercise continues the section above.</t>
        </r>
      </text>
    </comment>
    <comment ref="E48" authorId="0">
      <text>
        <r>
          <t>Optional notes for the section.</t>
        </r>
      </text>
    </comment>
    <comment ref="C50" authorId="0">
      <text>
        <r>
          <t>Only if the exercise is not in the library. Leave the library box above blank and pick a muscle group to the right.</t>
        </r>
      </text>
    </comment>
    <comment ref="E50" authorId="0">
      <text>
        <r>
          <t>Muscle group — required for a custom exercise.</t>
        </r>
      </text>
    </comment>
    <comment ref="C51" authorId="0">
      <text>
        <r>
          <t>Optional. Give exercises the same letter (A, B, …) to superset them. Paired in the order listed (A1, A2, …).</t>
        </r>
      </text>
    </comment>
    <comment ref="E51" authorId="0">
      <text>
        <r>
          <t>Optional cues for the client: tempo, rest, form.</t>
        </r>
      </text>
    </comment>
    <comment ref="C52" authorId="0">
      <text>
        <r>
          <t>Blank = Regular (or Super Set when a superset letter is set).</t>
        </r>
      </text>
    </comment>
    <comment ref="D52" authorId="0">
      <text>
        <r>
          <t>Optional goal weight. Blank = bodyweight / client chooses.</t>
        </r>
      </text>
    </comment>
    <comment ref="E52" authorId="0">
      <text>
        <r>
          <t>Goal reps for this set. A set row counts once Goal Reps is filled in.</t>
        </r>
      </text>
    </comment>
    <comment ref="F52" authorId="0">
      <text>
        <r>
          <t>Optional, e.g. 8-12.</t>
        </r>
      </text>
    </comment>
    <comment ref="C62" authorId="0">
      <text>
        <r>
          <t>Optional. A section title shown above this exercise in the app, e.g. "Warm-Up" or "Finisher". Leave blank if this exercise continues the section above.</t>
        </r>
      </text>
    </comment>
    <comment ref="E62" authorId="0">
      <text>
        <r>
          <t>Optional notes for the section.</t>
        </r>
      </text>
    </comment>
    <comment ref="C64" authorId="0">
      <text>
        <r>
          <t>Only if the exercise is not in the library. Leave the library box above blank and pick a muscle group to the right.</t>
        </r>
      </text>
    </comment>
    <comment ref="E64" authorId="0">
      <text>
        <r>
          <t>Muscle group — required for a custom exercise.</t>
        </r>
      </text>
    </comment>
    <comment ref="C65" authorId="0">
      <text>
        <r>
          <t>Optional. Give exercises the same letter (A, B, …) to superset them. Paired in the order listed (A1, A2, …).</t>
        </r>
      </text>
    </comment>
    <comment ref="E65" authorId="0">
      <text>
        <r>
          <t>Optional cues for the client: tempo, rest, form.</t>
        </r>
      </text>
    </comment>
    <comment ref="C66" authorId="0">
      <text>
        <r>
          <t>Blank = Regular (or Super Set when a superset letter is set).</t>
        </r>
      </text>
    </comment>
    <comment ref="D66" authorId="0">
      <text>
        <r>
          <t>Optional goal weight. Blank = bodyweight / client chooses.</t>
        </r>
      </text>
    </comment>
    <comment ref="E66" authorId="0">
      <text>
        <r>
          <t>Goal reps for this set. A set row counts once Goal Reps is filled in.</t>
        </r>
      </text>
    </comment>
    <comment ref="F66" authorId="0">
      <text>
        <r>
          <t>Optional, e.g. 8-12.</t>
        </r>
      </text>
    </comment>
    <comment ref="C76" authorId="0">
      <text>
        <r>
          <t>Optional. A section title shown above this exercise in the app, e.g. "Warm-Up" or "Finisher". Leave blank if this exercise continues the section above.</t>
        </r>
      </text>
    </comment>
    <comment ref="E76" authorId="0">
      <text>
        <r>
          <t>Optional notes for the section.</t>
        </r>
      </text>
    </comment>
    <comment ref="C78" authorId="0">
      <text>
        <r>
          <t>Only if the exercise is not in the library. Leave the library box above blank and pick a muscle group to the right.</t>
        </r>
      </text>
    </comment>
    <comment ref="E78" authorId="0">
      <text>
        <r>
          <t>Muscle group — required for a custom exercise.</t>
        </r>
      </text>
    </comment>
    <comment ref="C79" authorId="0">
      <text>
        <r>
          <t>Optional. Give exercises the same letter (A, B, …) to superset them. Paired in the order listed (A1, A2, …).</t>
        </r>
      </text>
    </comment>
    <comment ref="E79" authorId="0">
      <text>
        <r>
          <t>Optional cues for the client: tempo, rest, form.</t>
        </r>
      </text>
    </comment>
    <comment ref="C80" authorId="0">
      <text>
        <r>
          <t>Blank = Regular (or Super Set when a superset letter is set).</t>
        </r>
      </text>
    </comment>
    <comment ref="D80" authorId="0">
      <text>
        <r>
          <t>Optional goal weight. Blank = bodyweight / client chooses.</t>
        </r>
      </text>
    </comment>
    <comment ref="E80" authorId="0">
      <text>
        <r>
          <t>Goal reps for this set. A set row counts once Goal Reps is filled in.</t>
        </r>
      </text>
    </comment>
    <comment ref="F80" authorId="0">
      <text>
        <r>
          <t>Optional, e.g. 8-12.</t>
        </r>
      </text>
    </comment>
    <comment ref="C90" authorId="0">
      <text>
        <r>
          <t>Optional. A section title shown above this exercise in the app, e.g. "Warm-Up" or "Finisher". Leave blank if this exercise continues the section above.</t>
        </r>
      </text>
    </comment>
    <comment ref="E90" authorId="0">
      <text>
        <r>
          <t>Optional notes for the section.</t>
        </r>
      </text>
    </comment>
    <comment ref="C92" authorId="0">
      <text>
        <r>
          <t>Only if the exercise is not in the library. Leave the library box above blank and pick a muscle group to the right.</t>
        </r>
      </text>
    </comment>
    <comment ref="E92" authorId="0">
      <text>
        <r>
          <t>Muscle group — required for a custom exercise.</t>
        </r>
      </text>
    </comment>
    <comment ref="C93" authorId="0">
      <text>
        <r>
          <t>Optional. Give exercises the same letter (A, B, …) to superset them. Paired in the order listed (A1, A2, …).</t>
        </r>
      </text>
    </comment>
    <comment ref="E93" authorId="0">
      <text>
        <r>
          <t>Optional cues for the client: tempo, rest, form.</t>
        </r>
      </text>
    </comment>
    <comment ref="C94" authorId="0">
      <text>
        <r>
          <t>Blank = Regular (or Super Set when a superset letter is set).</t>
        </r>
      </text>
    </comment>
    <comment ref="D94" authorId="0">
      <text>
        <r>
          <t>Optional goal weight. Blank = bodyweight / client chooses.</t>
        </r>
      </text>
    </comment>
    <comment ref="E94" authorId="0">
      <text>
        <r>
          <t>Goal reps for this set. A set row counts once Goal Reps is filled in.</t>
        </r>
      </text>
    </comment>
    <comment ref="F94" authorId="0">
      <text>
        <r>
          <t>Optional, e.g. 8-12.</t>
        </r>
      </text>
    </comment>
    <comment ref="C104" authorId="0">
      <text>
        <r>
          <t>Optional. A section title shown above this exercise in the app, e.g. "Warm-Up" or "Finisher". Leave blank if this exercise continues the section above.</t>
        </r>
      </text>
    </comment>
    <comment ref="E104" authorId="0">
      <text>
        <r>
          <t>Optional notes for the section.</t>
        </r>
      </text>
    </comment>
    <comment ref="C106" authorId="0">
      <text>
        <r>
          <t>Only if the exercise is not in the library. Leave the library box above blank and pick a muscle group to the right.</t>
        </r>
      </text>
    </comment>
    <comment ref="E106" authorId="0">
      <text>
        <r>
          <t>Muscle group — required for a custom exercise.</t>
        </r>
      </text>
    </comment>
    <comment ref="C107" authorId="0">
      <text>
        <r>
          <t>Optional. Give exercises the same letter (A, B, …) to superset them. Paired in the order listed (A1, A2, …).</t>
        </r>
      </text>
    </comment>
    <comment ref="E107" authorId="0">
      <text>
        <r>
          <t>Optional cues for the client: tempo, rest, form.</t>
        </r>
      </text>
    </comment>
    <comment ref="C108" authorId="0">
      <text>
        <r>
          <t>Blank = Regular (or Super Set when a superset letter is set).</t>
        </r>
      </text>
    </comment>
    <comment ref="D108" authorId="0">
      <text>
        <r>
          <t>Optional goal weight. Blank = bodyweight / client chooses.</t>
        </r>
      </text>
    </comment>
    <comment ref="E108" authorId="0">
      <text>
        <r>
          <t>Goal reps for this set. A set row counts once Goal Reps is filled in.</t>
        </r>
      </text>
    </comment>
    <comment ref="F108" authorId="0">
      <text>
        <r>
          <t>Optional, e.g. 8-12.</t>
        </r>
      </text>
    </comment>
    <comment ref="C118" authorId="0">
      <text>
        <r>
          <t>Optional. A section title shown above this exercise in the app, e.g. "Warm-Up" or "Finisher". Leave blank if this exercise continues the section above.</t>
        </r>
      </text>
    </comment>
    <comment ref="E118" authorId="0">
      <text>
        <r>
          <t>Optional notes for the section.</t>
        </r>
      </text>
    </comment>
    <comment ref="C120" authorId="0">
      <text>
        <r>
          <t>Only if the exercise is not in the library. Leave the library box above blank and pick a muscle group to the right.</t>
        </r>
      </text>
    </comment>
    <comment ref="E120" authorId="0">
      <text>
        <r>
          <t>Muscle group — required for a custom exercise.</t>
        </r>
      </text>
    </comment>
    <comment ref="C121" authorId="0">
      <text>
        <r>
          <t>Optional. Give exercises the same letter (A, B, …) to superset them. Paired in the order listed (A1, A2, …).</t>
        </r>
      </text>
    </comment>
    <comment ref="E121" authorId="0">
      <text>
        <r>
          <t>Optional cues for the client: tempo, rest, form.</t>
        </r>
      </text>
    </comment>
    <comment ref="C122" authorId="0">
      <text>
        <r>
          <t>Blank = Regular (or Super Set when a superset letter is set).</t>
        </r>
      </text>
    </comment>
    <comment ref="D122" authorId="0">
      <text>
        <r>
          <t>Optional goal weight. Blank = bodyweight / client chooses.</t>
        </r>
      </text>
    </comment>
    <comment ref="E122" authorId="0">
      <text>
        <r>
          <t>Goal reps for this set. A set row counts once Goal Reps is filled in.</t>
        </r>
      </text>
    </comment>
    <comment ref="F122" authorId="0">
      <text>
        <r>
          <t>Optional, e.g. 8-12.</t>
        </r>
      </text>
    </comment>
    <comment ref="C132" authorId="0">
      <text>
        <r>
          <t>Optional. A section title shown above this exercise in the app, e.g. "Warm-Up" or "Finisher". Leave blank if this exercise continues the section above.</t>
        </r>
      </text>
    </comment>
    <comment ref="E132" authorId="0">
      <text>
        <r>
          <t>Optional notes for the section.</t>
        </r>
      </text>
    </comment>
    <comment ref="C134" authorId="0">
      <text>
        <r>
          <t>Only if the exercise is not in the library. Leave the library box above blank and pick a muscle group to the right.</t>
        </r>
      </text>
    </comment>
    <comment ref="E134" authorId="0">
      <text>
        <r>
          <t>Muscle group — required for a custom exercise.</t>
        </r>
      </text>
    </comment>
    <comment ref="C135" authorId="0">
      <text>
        <r>
          <t>Optional. Give exercises the same letter (A, B, …) to superset them. Paired in the order listed (A1, A2, …).</t>
        </r>
      </text>
    </comment>
    <comment ref="E135" authorId="0">
      <text>
        <r>
          <t>Optional cues for the client: tempo, rest, form.</t>
        </r>
      </text>
    </comment>
    <comment ref="C136" authorId="0">
      <text>
        <r>
          <t>Blank = Regular (or Super Set when a superset letter is set).</t>
        </r>
      </text>
    </comment>
    <comment ref="D136" authorId="0">
      <text>
        <r>
          <t>Optional goal weight. Blank = bodyweight / client chooses.</t>
        </r>
      </text>
    </comment>
    <comment ref="E136" authorId="0">
      <text>
        <r>
          <t>Goal reps for this set. A set row counts once Goal Reps is filled in.</t>
        </r>
      </text>
    </comment>
    <comment ref="F136" authorId="0">
      <text>
        <r>
          <t>Optional, e.g. 8-12.</t>
        </r>
      </text>
    </comment>
    <comment ref="C146" authorId="0">
      <text>
        <r>
          <t>Optional. A section title shown above this exercise in the app, e.g. "Warm-Up" or "Finisher". Leave blank if this exercise continues the section above.</t>
        </r>
      </text>
    </comment>
    <comment ref="E146" authorId="0">
      <text>
        <r>
          <t>Optional notes for the section.</t>
        </r>
      </text>
    </comment>
    <comment ref="C148" authorId="0">
      <text>
        <r>
          <t>Only if the exercise is not in the library. Leave the library box above blank and pick a muscle group to the right.</t>
        </r>
      </text>
    </comment>
    <comment ref="E148" authorId="0">
      <text>
        <r>
          <t>Muscle group — required for a custom exercise.</t>
        </r>
      </text>
    </comment>
    <comment ref="C149" authorId="0">
      <text>
        <r>
          <t>Optional. Give exercises the same letter (A, B, …) to superset them. Paired in the order listed (A1, A2, …).</t>
        </r>
      </text>
    </comment>
    <comment ref="E149" authorId="0">
      <text>
        <r>
          <t>Optional cues for the client: tempo, rest, form.</t>
        </r>
      </text>
    </comment>
    <comment ref="C150" authorId="0">
      <text>
        <r>
          <t>Blank = Regular (or Super Set when a superset letter is set).</t>
        </r>
      </text>
    </comment>
    <comment ref="D150" authorId="0">
      <text>
        <r>
          <t>Optional goal weight. Blank = bodyweight / client chooses.</t>
        </r>
      </text>
    </comment>
    <comment ref="E150" authorId="0">
      <text>
        <r>
          <t>Goal reps for this set. A set row counts once Goal Reps is filled in.</t>
        </r>
      </text>
    </comment>
    <comment ref="F150" authorId="0">
      <text>
        <r>
          <t>Optional, e.g. 8-12.</t>
        </r>
      </text>
    </comment>
    <comment ref="C160" authorId="0">
      <text>
        <r>
          <t>Optional. A section title shown above this exercise in the app, e.g. "Warm-Up" or "Finisher". Leave blank if this exercise continues the section above.</t>
        </r>
      </text>
    </comment>
    <comment ref="E160" authorId="0">
      <text>
        <r>
          <t>Optional notes for the section.</t>
        </r>
      </text>
    </comment>
    <comment ref="C162" authorId="0">
      <text>
        <r>
          <t>Only if the exercise is not in the library. Leave the library box above blank and pick a muscle group to the right.</t>
        </r>
      </text>
    </comment>
    <comment ref="E162" authorId="0">
      <text>
        <r>
          <t>Muscle group — required for a custom exercise.</t>
        </r>
      </text>
    </comment>
    <comment ref="C163" authorId="0">
      <text>
        <r>
          <t>Optional. Give exercises the same letter (A, B, …) to superset them. Paired in the order listed (A1, A2, …).</t>
        </r>
      </text>
    </comment>
    <comment ref="E163" authorId="0">
      <text>
        <r>
          <t>Optional cues for the client: tempo, rest, form.</t>
        </r>
      </text>
    </comment>
    <comment ref="C164" authorId="0">
      <text>
        <r>
          <t>Blank = Regular (or Super Set when a superset letter is set).</t>
        </r>
      </text>
    </comment>
    <comment ref="D164" authorId="0">
      <text>
        <r>
          <t>Optional goal weight. Blank = bodyweight / client chooses.</t>
        </r>
      </text>
    </comment>
    <comment ref="E164" authorId="0">
      <text>
        <r>
          <t>Goal reps for this set. A set row counts once Goal Reps is filled in.</t>
        </r>
      </text>
    </comment>
    <comment ref="F164" authorId="0">
      <text>
        <r>
          <t>Optional, e.g. 8-12.</t>
        </r>
      </text>
    </comment>
    <comment ref="C174" authorId="0">
      <text>
        <r>
          <t>Optional. A section title shown above this exercise in the app, e.g. "Warm-Up" or "Finisher". Leave blank if this exercise continues the section above.</t>
        </r>
      </text>
    </comment>
    <comment ref="E174" authorId="0">
      <text>
        <r>
          <t>Optional notes for the section.</t>
        </r>
      </text>
    </comment>
    <comment ref="C176" authorId="0">
      <text>
        <r>
          <t>Only if the exercise is not in the library. Leave the library box above blank and pick a muscle group to the right.</t>
        </r>
      </text>
    </comment>
    <comment ref="E176" authorId="0">
      <text>
        <r>
          <t>Muscle group — required for a custom exercise.</t>
        </r>
      </text>
    </comment>
    <comment ref="C177" authorId="0">
      <text>
        <r>
          <t>Optional. Give exercises the same letter (A, B, …) to superset them. Paired in the order listed (A1, A2, …).</t>
        </r>
      </text>
    </comment>
    <comment ref="E177" authorId="0">
      <text>
        <r>
          <t>Optional cues for the client: tempo, rest, form.</t>
        </r>
      </text>
    </comment>
    <comment ref="C178" authorId="0">
      <text>
        <r>
          <t>Blank = Regular (or Super Set when a superset letter is set).</t>
        </r>
      </text>
    </comment>
    <comment ref="D178" authorId="0">
      <text>
        <r>
          <t>Optional goal weight. Blank = bodyweight / client chooses.</t>
        </r>
      </text>
    </comment>
    <comment ref="E178" authorId="0">
      <text>
        <r>
          <t>Goal reps for this set. A set row counts once Goal Reps is filled in.</t>
        </r>
      </text>
    </comment>
    <comment ref="F178" authorId="0">
      <text>
        <r>
          <t>Optional, e.g. 8-12.</t>
        </r>
      </text>
    </comment>
    <comment ref="C188" authorId="0">
      <text>
        <r>
          <t>Optional. A section title shown above this exercise in the app, e.g. "Warm-Up" or "Finisher". Leave blank if this exercise continues the section above.</t>
        </r>
      </text>
    </comment>
    <comment ref="E188" authorId="0">
      <text>
        <r>
          <t>Optional notes for the section.</t>
        </r>
      </text>
    </comment>
    <comment ref="C190" authorId="0">
      <text>
        <r>
          <t>Only if the exercise is not in the library. Leave the library box above blank and pick a muscle group to the right.</t>
        </r>
      </text>
    </comment>
    <comment ref="E190" authorId="0">
      <text>
        <r>
          <t>Muscle group — required for a custom exercise.</t>
        </r>
      </text>
    </comment>
    <comment ref="C191" authorId="0">
      <text>
        <r>
          <t>Optional. Give exercises the same letter (A, B, …) to superset them. Paired in the order listed (A1, A2, …).</t>
        </r>
      </text>
    </comment>
    <comment ref="E191" authorId="0">
      <text>
        <r>
          <t>Optional cues for the client: tempo, rest, form.</t>
        </r>
      </text>
    </comment>
    <comment ref="C192" authorId="0">
      <text>
        <r>
          <t>Blank = Regular (or Super Set when a superset letter is set).</t>
        </r>
      </text>
    </comment>
    <comment ref="D192" authorId="0">
      <text>
        <r>
          <t>Optional goal weight. Blank = bodyweight / client chooses.</t>
        </r>
      </text>
    </comment>
    <comment ref="E192" authorId="0">
      <text>
        <r>
          <t>Goal reps for this set. A set row counts once Goal Reps is filled in.</t>
        </r>
      </text>
    </comment>
    <comment ref="F192" authorId="0">
      <text>
        <r>
          <t>Optional, e.g. 8-12.</t>
        </r>
      </text>
    </comment>
    <comment ref="C202" authorId="0">
      <text>
        <r>
          <t>Optional. A section title shown above this exercise in the app, e.g. "Warm-Up" or "Finisher". Leave blank if this exercise continues the section above.</t>
        </r>
      </text>
    </comment>
    <comment ref="E202" authorId="0">
      <text>
        <r>
          <t>Optional notes for the section.</t>
        </r>
      </text>
    </comment>
    <comment ref="C204" authorId="0">
      <text>
        <r>
          <t>Only if the exercise is not in the library. Leave the library box above blank and pick a muscle group to the right.</t>
        </r>
      </text>
    </comment>
    <comment ref="E204" authorId="0">
      <text>
        <r>
          <t>Muscle group — required for a custom exercise.</t>
        </r>
      </text>
    </comment>
    <comment ref="C205" authorId="0">
      <text>
        <r>
          <t>Optional. Give exercises the same letter (A, B, …) to superset them. Paired in the order listed (A1, A2, …).</t>
        </r>
      </text>
    </comment>
    <comment ref="E205" authorId="0">
      <text>
        <r>
          <t>Optional cues for the client: tempo, rest, form.</t>
        </r>
      </text>
    </comment>
    <comment ref="C206" authorId="0">
      <text>
        <r>
          <t>Blank = Regular (or Super Set when a superset letter is set).</t>
        </r>
      </text>
    </comment>
    <comment ref="D206" authorId="0">
      <text>
        <r>
          <t>Optional goal weight. Blank = bodyweight / client chooses.</t>
        </r>
      </text>
    </comment>
    <comment ref="E206" authorId="0">
      <text>
        <r>
          <t>Goal reps for this set. A set row counts once Goal Reps is filled in.</t>
        </r>
      </text>
    </comment>
    <comment ref="F206" authorId="0">
      <text>
        <r>
          <t>Optional, e.g. 8-12.</t>
        </r>
      </text>
    </comment>
  </commentList>
</comments>
</file>

<file path=xl/comments4.xml><?xml version="1.0" encoding="utf-8"?>
<comments xmlns="http://schemas.openxmlformats.org/spreadsheetml/2006/main">
  <authors>
    <author>Author</author>
  </authors>
  <commentList>
    <comment ref="C6" authorId="0">
      <text>
        <r>
          <t>Optional. A section title shown above this exercise in the app, e.g. "Warm-Up" or "Finisher". Leave blank if this exercise continues the section above.</t>
        </r>
      </text>
    </comment>
    <comment ref="E6" authorId="0">
      <text>
        <r>
          <t>Optional notes for the section.</t>
        </r>
      </text>
    </comment>
    <comment ref="C8" authorId="0">
      <text>
        <r>
          <t>Only if the exercise is not in the library. Leave the library box above blank and pick a muscle group to the right.</t>
        </r>
      </text>
    </comment>
    <comment ref="E8" authorId="0">
      <text>
        <r>
          <t>Muscle group — required for a custom exercise.</t>
        </r>
      </text>
    </comment>
    <comment ref="C9" authorId="0">
      <text>
        <r>
          <t>Optional. Give exercises the same letter (A, B, …) to superset them. Paired in the order listed (A1, A2, …).</t>
        </r>
      </text>
    </comment>
    <comment ref="E9" authorId="0">
      <text>
        <r>
          <t>Optional cues for the client: tempo, rest, form.</t>
        </r>
      </text>
    </comment>
    <comment ref="C10" authorId="0">
      <text>
        <r>
          <t>Blank = Regular (or Super Set when a superset letter is set).</t>
        </r>
      </text>
    </comment>
    <comment ref="D10" authorId="0">
      <text>
        <r>
          <t>Optional goal weight. Blank = bodyweight / client chooses.</t>
        </r>
      </text>
    </comment>
    <comment ref="E10" authorId="0">
      <text>
        <r>
          <t>Goal reps for this set. A set row counts once Goal Reps is filled in.</t>
        </r>
      </text>
    </comment>
    <comment ref="F10" authorId="0">
      <text>
        <r>
          <t>Optional, e.g. 8-12.</t>
        </r>
      </text>
    </comment>
    <comment ref="C20" authorId="0">
      <text>
        <r>
          <t>Optional. A section title shown above this exercise in the app, e.g. "Warm-Up" or "Finisher". Leave blank if this exercise continues the section above.</t>
        </r>
      </text>
    </comment>
    <comment ref="E20" authorId="0">
      <text>
        <r>
          <t>Optional notes for the section.</t>
        </r>
      </text>
    </comment>
    <comment ref="C22" authorId="0">
      <text>
        <r>
          <t>Only if the exercise is not in the library. Leave the library box above blank and pick a muscle group to the right.</t>
        </r>
      </text>
    </comment>
    <comment ref="E22" authorId="0">
      <text>
        <r>
          <t>Muscle group — required for a custom exercise.</t>
        </r>
      </text>
    </comment>
    <comment ref="C23" authorId="0">
      <text>
        <r>
          <t>Optional. Give exercises the same letter (A, B, …) to superset them. Paired in the order listed (A1, A2, …).</t>
        </r>
      </text>
    </comment>
    <comment ref="E23" authorId="0">
      <text>
        <r>
          <t>Optional cues for the client: tempo, rest, form.</t>
        </r>
      </text>
    </comment>
    <comment ref="C24" authorId="0">
      <text>
        <r>
          <t>Blank = Regular (or Super Set when a superset letter is set).</t>
        </r>
      </text>
    </comment>
    <comment ref="D24" authorId="0">
      <text>
        <r>
          <t>Optional goal weight. Blank = bodyweight / client chooses.</t>
        </r>
      </text>
    </comment>
    <comment ref="E24" authorId="0">
      <text>
        <r>
          <t>Goal reps for this set. A set row counts once Goal Reps is filled in.</t>
        </r>
      </text>
    </comment>
    <comment ref="F24" authorId="0">
      <text>
        <r>
          <t>Optional, e.g. 8-12.</t>
        </r>
      </text>
    </comment>
    <comment ref="C34" authorId="0">
      <text>
        <r>
          <t>Optional. A section title shown above this exercise in the app, e.g. "Warm-Up" or "Finisher". Leave blank if this exercise continues the section above.</t>
        </r>
      </text>
    </comment>
    <comment ref="E34" authorId="0">
      <text>
        <r>
          <t>Optional notes for the section.</t>
        </r>
      </text>
    </comment>
    <comment ref="C36" authorId="0">
      <text>
        <r>
          <t>Only if the exercise is not in the library. Leave the library box above blank and pick a muscle group to the right.</t>
        </r>
      </text>
    </comment>
    <comment ref="E36" authorId="0">
      <text>
        <r>
          <t>Muscle group — required for a custom exercise.</t>
        </r>
      </text>
    </comment>
    <comment ref="C37" authorId="0">
      <text>
        <r>
          <t>Optional. Give exercises the same letter (A, B, …) to superset them. Paired in the order listed (A1, A2, …).</t>
        </r>
      </text>
    </comment>
    <comment ref="E37" authorId="0">
      <text>
        <r>
          <t>Optional cues for the client: tempo, rest, form.</t>
        </r>
      </text>
    </comment>
    <comment ref="C38" authorId="0">
      <text>
        <r>
          <t>Blank = Regular (or Super Set when a superset letter is set).</t>
        </r>
      </text>
    </comment>
    <comment ref="D38" authorId="0">
      <text>
        <r>
          <t>Optional goal weight. Blank = bodyweight / client chooses.</t>
        </r>
      </text>
    </comment>
    <comment ref="E38" authorId="0">
      <text>
        <r>
          <t>Goal reps for this set. A set row counts once Goal Reps is filled in.</t>
        </r>
      </text>
    </comment>
    <comment ref="F38" authorId="0">
      <text>
        <r>
          <t>Optional, e.g. 8-12.</t>
        </r>
      </text>
    </comment>
    <comment ref="C48" authorId="0">
      <text>
        <r>
          <t>Optional. A section title shown above this exercise in the app, e.g. "Warm-Up" or "Finisher". Leave blank if this exercise continues the section above.</t>
        </r>
      </text>
    </comment>
    <comment ref="E48" authorId="0">
      <text>
        <r>
          <t>Optional notes for the section.</t>
        </r>
      </text>
    </comment>
    <comment ref="C50" authorId="0">
      <text>
        <r>
          <t>Only if the exercise is not in the library. Leave the library box above blank and pick a muscle group to the right.</t>
        </r>
      </text>
    </comment>
    <comment ref="E50" authorId="0">
      <text>
        <r>
          <t>Muscle group — required for a custom exercise.</t>
        </r>
      </text>
    </comment>
    <comment ref="C51" authorId="0">
      <text>
        <r>
          <t>Optional. Give exercises the same letter (A, B, …) to superset them. Paired in the order listed (A1, A2, …).</t>
        </r>
      </text>
    </comment>
    <comment ref="E51" authorId="0">
      <text>
        <r>
          <t>Optional cues for the client: tempo, rest, form.</t>
        </r>
      </text>
    </comment>
    <comment ref="C52" authorId="0">
      <text>
        <r>
          <t>Blank = Regular (or Super Set when a superset letter is set).</t>
        </r>
      </text>
    </comment>
    <comment ref="D52" authorId="0">
      <text>
        <r>
          <t>Optional goal weight. Blank = bodyweight / client chooses.</t>
        </r>
      </text>
    </comment>
    <comment ref="E52" authorId="0">
      <text>
        <r>
          <t>Goal reps for this set. A set row counts once Goal Reps is filled in.</t>
        </r>
      </text>
    </comment>
    <comment ref="F52" authorId="0">
      <text>
        <r>
          <t>Optional, e.g. 8-12.</t>
        </r>
      </text>
    </comment>
    <comment ref="C62" authorId="0">
      <text>
        <r>
          <t>Optional. A section title shown above this exercise in the app, e.g. "Warm-Up" or "Finisher". Leave blank if this exercise continues the section above.</t>
        </r>
      </text>
    </comment>
    <comment ref="E62" authorId="0">
      <text>
        <r>
          <t>Optional notes for the section.</t>
        </r>
      </text>
    </comment>
    <comment ref="C64" authorId="0">
      <text>
        <r>
          <t>Only if the exercise is not in the library. Leave the library box above blank and pick a muscle group to the right.</t>
        </r>
      </text>
    </comment>
    <comment ref="E64" authorId="0">
      <text>
        <r>
          <t>Muscle group — required for a custom exercise.</t>
        </r>
      </text>
    </comment>
    <comment ref="C65" authorId="0">
      <text>
        <r>
          <t>Optional. Give exercises the same letter (A, B, …) to superset them. Paired in the order listed (A1, A2, …).</t>
        </r>
      </text>
    </comment>
    <comment ref="E65" authorId="0">
      <text>
        <r>
          <t>Optional cues for the client: tempo, rest, form.</t>
        </r>
      </text>
    </comment>
    <comment ref="C66" authorId="0">
      <text>
        <r>
          <t>Blank = Regular (or Super Set when a superset letter is set).</t>
        </r>
      </text>
    </comment>
    <comment ref="D66" authorId="0">
      <text>
        <r>
          <t>Optional goal weight. Blank = bodyweight / client chooses.</t>
        </r>
      </text>
    </comment>
    <comment ref="E66" authorId="0">
      <text>
        <r>
          <t>Goal reps for this set. A set row counts once Goal Reps is filled in.</t>
        </r>
      </text>
    </comment>
    <comment ref="F66" authorId="0">
      <text>
        <r>
          <t>Optional, e.g. 8-12.</t>
        </r>
      </text>
    </comment>
    <comment ref="C76" authorId="0">
      <text>
        <r>
          <t>Optional. A section title shown above this exercise in the app, e.g. "Warm-Up" or "Finisher". Leave blank if this exercise continues the section above.</t>
        </r>
      </text>
    </comment>
    <comment ref="E76" authorId="0">
      <text>
        <r>
          <t>Optional notes for the section.</t>
        </r>
      </text>
    </comment>
    <comment ref="C78" authorId="0">
      <text>
        <r>
          <t>Only if the exercise is not in the library. Leave the library box above blank and pick a muscle group to the right.</t>
        </r>
      </text>
    </comment>
    <comment ref="E78" authorId="0">
      <text>
        <r>
          <t>Muscle group — required for a custom exercise.</t>
        </r>
      </text>
    </comment>
    <comment ref="C79" authorId="0">
      <text>
        <r>
          <t>Optional. Give exercises the same letter (A, B, …) to superset them. Paired in the order listed (A1, A2, …).</t>
        </r>
      </text>
    </comment>
    <comment ref="E79" authorId="0">
      <text>
        <r>
          <t>Optional cues for the client: tempo, rest, form.</t>
        </r>
      </text>
    </comment>
    <comment ref="C80" authorId="0">
      <text>
        <r>
          <t>Blank = Regular (or Super Set when a superset letter is set).</t>
        </r>
      </text>
    </comment>
    <comment ref="D80" authorId="0">
      <text>
        <r>
          <t>Optional goal weight. Blank = bodyweight / client chooses.</t>
        </r>
      </text>
    </comment>
    <comment ref="E80" authorId="0">
      <text>
        <r>
          <t>Goal reps for this set. A set row counts once Goal Reps is filled in.</t>
        </r>
      </text>
    </comment>
    <comment ref="F80" authorId="0">
      <text>
        <r>
          <t>Optional, e.g. 8-12.</t>
        </r>
      </text>
    </comment>
    <comment ref="C90" authorId="0">
      <text>
        <r>
          <t>Optional. A section title shown above this exercise in the app, e.g. "Warm-Up" or "Finisher". Leave blank if this exercise continues the section above.</t>
        </r>
      </text>
    </comment>
    <comment ref="E90" authorId="0">
      <text>
        <r>
          <t>Optional notes for the section.</t>
        </r>
      </text>
    </comment>
    <comment ref="C92" authorId="0">
      <text>
        <r>
          <t>Only if the exercise is not in the library. Leave the library box above blank and pick a muscle group to the right.</t>
        </r>
      </text>
    </comment>
    <comment ref="E92" authorId="0">
      <text>
        <r>
          <t>Muscle group — required for a custom exercise.</t>
        </r>
      </text>
    </comment>
    <comment ref="C93" authorId="0">
      <text>
        <r>
          <t>Optional. Give exercises the same letter (A, B, …) to superset them. Paired in the order listed (A1, A2, …).</t>
        </r>
      </text>
    </comment>
    <comment ref="E93" authorId="0">
      <text>
        <r>
          <t>Optional cues for the client: tempo, rest, form.</t>
        </r>
      </text>
    </comment>
    <comment ref="C94" authorId="0">
      <text>
        <r>
          <t>Blank = Regular (or Super Set when a superset letter is set).</t>
        </r>
      </text>
    </comment>
    <comment ref="D94" authorId="0">
      <text>
        <r>
          <t>Optional goal weight. Blank = bodyweight / client chooses.</t>
        </r>
      </text>
    </comment>
    <comment ref="E94" authorId="0">
      <text>
        <r>
          <t>Goal reps for this set. A set row counts once Goal Reps is filled in.</t>
        </r>
      </text>
    </comment>
    <comment ref="F94" authorId="0">
      <text>
        <r>
          <t>Optional, e.g. 8-12.</t>
        </r>
      </text>
    </comment>
    <comment ref="C104" authorId="0">
      <text>
        <r>
          <t>Optional. A section title shown above this exercise in the app, e.g. "Warm-Up" or "Finisher". Leave blank if this exercise continues the section above.</t>
        </r>
      </text>
    </comment>
    <comment ref="E104" authorId="0">
      <text>
        <r>
          <t>Optional notes for the section.</t>
        </r>
      </text>
    </comment>
    <comment ref="C106" authorId="0">
      <text>
        <r>
          <t>Only if the exercise is not in the library. Leave the library box above blank and pick a muscle group to the right.</t>
        </r>
      </text>
    </comment>
    <comment ref="E106" authorId="0">
      <text>
        <r>
          <t>Muscle group — required for a custom exercise.</t>
        </r>
      </text>
    </comment>
    <comment ref="C107" authorId="0">
      <text>
        <r>
          <t>Optional. Give exercises the same letter (A, B, …) to superset them. Paired in the order listed (A1, A2, …).</t>
        </r>
      </text>
    </comment>
    <comment ref="E107" authorId="0">
      <text>
        <r>
          <t>Optional cues for the client: tempo, rest, form.</t>
        </r>
      </text>
    </comment>
    <comment ref="C108" authorId="0">
      <text>
        <r>
          <t>Blank = Regular (or Super Set when a superset letter is set).</t>
        </r>
      </text>
    </comment>
    <comment ref="D108" authorId="0">
      <text>
        <r>
          <t>Optional goal weight. Blank = bodyweight / client chooses.</t>
        </r>
      </text>
    </comment>
    <comment ref="E108" authorId="0">
      <text>
        <r>
          <t>Goal reps for this set. A set row counts once Goal Reps is filled in.</t>
        </r>
      </text>
    </comment>
    <comment ref="F108" authorId="0">
      <text>
        <r>
          <t>Optional, e.g. 8-12.</t>
        </r>
      </text>
    </comment>
    <comment ref="C118" authorId="0">
      <text>
        <r>
          <t>Optional. A section title shown above this exercise in the app, e.g. "Warm-Up" or "Finisher". Leave blank if this exercise continues the section above.</t>
        </r>
      </text>
    </comment>
    <comment ref="E118" authorId="0">
      <text>
        <r>
          <t>Optional notes for the section.</t>
        </r>
      </text>
    </comment>
    <comment ref="C120" authorId="0">
      <text>
        <r>
          <t>Only if the exercise is not in the library. Leave the library box above blank and pick a muscle group to the right.</t>
        </r>
      </text>
    </comment>
    <comment ref="E120" authorId="0">
      <text>
        <r>
          <t>Muscle group — required for a custom exercise.</t>
        </r>
      </text>
    </comment>
    <comment ref="C121" authorId="0">
      <text>
        <r>
          <t>Optional. Give exercises the same letter (A, B, …) to superset them. Paired in the order listed (A1, A2, …).</t>
        </r>
      </text>
    </comment>
    <comment ref="E121" authorId="0">
      <text>
        <r>
          <t>Optional cues for the client: tempo, rest, form.</t>
        </r>
      </text>
    </comment>
    <comment ref="C122" authorId="0">
      <text>
        <r>
          <t>Blank = Regular (or Super Set when a superset letter is set).</t>
        </r>
      </text>
    </comment>
    <comment ref="D122" authorId="0">
      <text>
        <r>
          <t>Optional goal weight. Blank = bodyweight / client chooses.</t>
        </r>
      </text>
    </comment>
    <comment ref="E122" authorId="0">
      <text>
        <r>
          <t>Goal reps for this set. A set row counts once Goal Reps is filled in.</t>
        </r>
      </text>
    </comment>
    <comment ref="F122" authorId="0">
      <text>
        <r>
          <t>Optional, e.g. 8-12.</t>
        </r>
      </text>
    </comment>
    <comment ref="C132" authorId="0">
      <text>
        <r>
          <t>Optional. A section title shown above this exercise in the app, e.g. "Warm-Up" or "Finisher". Leave blank if this exercise continues the section above.</t>
        </r>
      </text>
    </comment>
    <comment ref="E132" authorId="0">
      <text>
        <r>
          <t>Optional notes for the section.</t>
        </r>
      </text>
    </comment>
    <comment ref="C134" authorId="0">
      <text>
        <r>
          <t>Only if the exercise is not in the library. Leave the library box above blank and pick a muscle group to the right.</t>
        </r>
      </text>
    </comment>
    <comment ref="E134" authorId="0">
      <text>
        <r>
          <t>Muscle group — required for a custom exercise.</t>
        </r>
      </text>
    </comment>
    <comment ref="C135" authorId="0">
      <text>
        <r>
          <t>Optional. Give exercises the same letter (A, B, …) to superset them. Paired in the order listed (A1, A2, …).</t>
        </r>
      </text>
    </comment>
    <comment ref="E135" authorId="0">
      <text>
        <r>
          <t>Optional cues for the client: tempo, rest, form.</t>
        </r>
      </text>
    </comment>
    <comment ref="C136" authorId="0">
      <text>
        <r>
          <t>Blank = Regular (or Super Set when a superset letter is set).</t>
        </r>
      </text>
    </comment>
    <comment ref="D136" authorId="0">
      <text>
        <r>
          <t>Optional goal weight. Blank = bodyweight / client chooses.</t>
        </r>
      </text>
    </comment>
    <comment ref="E136" authorId="0">
      <text>
        <r>
          <t>Goal reps for this set. A set row counts once Goal Reps is filled in.</t>
        </r>
      </text>
    </comment>
    <comment ref="F136" authorId="0">
      <text>
        <r>
          <t>Optional, e.g. 8-12.</t>
        </r>
      </text>
    </comment>
    <comment ref="C146" authorId="0">
      <text>
        <r>
          <t>Optional. A section title shown above this exercise in the app, e.g. "Warm-Up" or "Finisher". Leave blank if this exercise continues the section above.</t>
        </r>
      </text>
    </comment>
    <comment ref="E146" authorId="0">
      <text>
        <r>
          <t>Optional notes for the section.</t>
        </r>
      </text>
    </comment>
    <comment ref="C148" authorId="0">
      <text>
        <r>
          <t>Only if the exercise is not in the library. Leave the library box above blank and pick a muscle group to the right.</t>
        </r>
      </text>
    </comment>
    <comment ref="E148" authorId="0">
      <text>
        <r>
          <t>Muscle group — required for a custom exercise.</t>
        </r>
      </text>
    </comment>
    <comment ref="C149" authorId="0">
      <text>
        <r>
          <t>Optional. Give exercises the same letter (A, B, …) to superset them. Paired in the order listed (A1, A2, …).</t>
        </r>
      </text>
    </comment>
    <comment ref="E149" authorId="0">
      <text>
        <r>
          <t>Optional cues for the client: tempo, rest, form.</t>
        </r>
      </text>
    </comment>
    <comment ref="C150" authorId="0">
      <text>
        <r>
          <t>Blank = Regular (or Super Set when a superset letter is set).</t>
        </r>
      </text>
    </comment>
    <comment ref="D150" authorId="0">
      <text>
        <r>
          <t>Optional goal weight. Blank = bodyweight / client chooses.</t>
        </r>
      </text>
    </comment>
    <comment ref="E150" authorId="0">
      <text>
        <r>
          <t>Goal reps for this set. A set row counts once Goal Reps is filled in.</t>
        </r>
      </text>
    </comment>
    <comment ref="F150" authorId="0">
      <text>
        <r>
          <t>Optional, e.g. 8-12.</t>
        </r>
      </text>
    </comment>
    <comment ref="C160" authorId="0">
      <text>
        <r>
          <t>Optional. A section title shown above this exercise in the app, e.g. "Warm-Up" or "Finisher". Leave blank if this exercise continues the section above.</t>
        </r>
      </text>
    </comment>
    <comment ref="E160" authorId="0">
      <text>
        <r>
          <t>Optional notes for the section.</t>
        </r>
      </text>
    </comment>
    <comment ref="C162" authorId="0">
      <text>
        <r>
          <t>Only if the exercise is not in the library. Leave the library box above blank and pick a muscle group to the right.</t>
        </r>
      </text>
    </comment>
    <comment ref="E162" authorId="0">
      <text>
        <r>
          <t>Muscle group — required for a custom exercise.</t>
        </r>
      </text>
    </comment>
    <comment ref="C163" authorId="0">
      <text>
        <r>
          <t>Optional. Give exercises the same letter (A, B, …) to superset them. Paired in the order listed (A1, A2, …).</t>
        </r>
      </text>
    </comment>
    <comment ref="E163" authorId="0">
      <text>
        <r>
          <t>Optional cues for the client: tempo, rest, form.</t>
        </r>
      </text>
    </comment>
    <comment ref="C164" authorId="0">
      <text>
        <r>
          <t>Blank = Regular (or Super Set when a superset letter is set).</t>
        </r>
      </text>
    </comment>
    <comment ref="D164" authorId="0">
      <text>
        <r>
          <t>Optional goal weight. Blank = bodyweight / client chooses.</t>
        </r>
      </text>
    </comment>
    <comment ref="E164" authorId="0">
      <text>
        <r>
          <t>Goal reps for this set. A set row counts once Goal Reps is filled in.</t>
        </r>
      </text>
    </comment>
    <comment ref="F164" authorId="0">
      <text>
        <r>
          <t>Optional, e.g. 8-12.</t>
        </r>
      </text>
    </comment>
    <comment ref="C174" authorId="0">
      <text>
        <r>
          <t>Optional. A section title shown above this exercise in the app, e.g. "Warm-Up" or "Finisher". Leave blank if this exercise continues the section above.</t>
        </r>
      </text>
    </comment>
    <comment ref="E174" authorId="0">
      <text>
        <r>
          <t>Optional notes for the section.</t>
        </r>
      </text>
    </comment>
    <comment ref="C176" authorId="0">
      <text>
        <r>
          <t>Only if the exercise is not in the library. Leave the library box above blank and pick a muscle group to the right.</t>
        </r>
      </text>
    </comment>
    <comment ref="E176" authorId="0">
      <text>
        <r>
          <t>Muscle group — required for a custom exercise.</t>
        </r>
      </text>
    </comment>
    <comment ref="C177" authorId="0">
      <text>
        <r>
          <t>Optional. Give exercises the same letter (A, B, …) to superset them. Paired in the order listed (A1, A2, …).</t>
        </r>
      </text>
    </comment>
    <comment ref="E177" authorId="0">
      <text>
        <r>
          <t>Optional cues for the client: tempo, rest, form.</t>
        </r>
      </text>
    </comment>
    <comment ref="C178" authorId="0">
      <text>
        <r>
          <t>Blank = Regular (or Super Set when a superset letter is set).</t>
        </r>
      </text>
    </comment>
    <comment ref="D178" authorId="0">
      <text>
        <r>
          <t>Optional goal weight. Blank = bodyweight / client chooses.</t>
        </r>
      </text>
    </comment>
    <comment ref="E178" authorId="0">
      <text>
        <r>
          <t>Goal reps for this set. A set row counts once Goal Reps is filled in.</t>
        </r>
      </text>
    </comment>
    <comment ref="F178" authorId="0">
      <text>
        <r>
          <t>Optional, e.g. 8-12.</t>
        </r>
      </text>
    </comment>
    <comment ref="C188" authorId="0">
      <text>
        <r>
          <t>Optional. A section title shown above this exercise in the app, e.g. "Warm-Up" or "Finisher". Leave blank if this exercise continues the section above.</t>
        </r>
      </text>
    </comment>
    <comment ref="E188" authorId="0">
      <text>
        <r>
          <t>Optional notes for the section.</t>
        </r>
      </text>
    </comment>
    <comment ref="C190" authorId="0">
      <text>
        <r>
          <t>Only if the exercise is not in the library. Leave the library box above blank and pick a muscle group to the right.</t>
        </r>
      </text>
    </comment>
    <comment ref="E190" authorId="0">
      <text>
        <r>
          <t>Muscle group — required for a custom exercise.</t>
        </r>
      </text>
    </comment>
    <comment ref="C191" authorId="0">
      <text>
        <r>
          <t>Optional. Give exercises the same letter (A, B, …) to superset them. Paired in the order listed (A1, A2, …).</t>
        </r>
      </text>
    </comment>
    <comment ref="E191" authorId="0">
      <text>
        <r>
          <t>Optional cues for the client: tempo, rest, form.</t>
        </r>
      </text>
    </comment>
    <comment ref="C192" authorId="0">
      <text>
        <r>
          <t>Blank = Regular (or Super Set when a superset letter is set).</t>
        </r>
      </text>
    </comment>
    <comment ref="D192" authorId="0">
      <text>
        <r>
          <t>Optional goal weight. Blank = bodyweight / client chooses.</t>
        </r>
      </text>
    </comment>
    <comment ref="E192" authorId="0">
      <text>
        <r>
          <t>Goal reps for this set. A set row counts once Goal Reps is filled in.</t>
        </r>
      </text>
    </comment>
    <comment ref="F192" authorId="0">
      <text>
        <r>
          <t>Optional, e.g. 8-12.</t>
        </r>
      </text>
    </comment>
    <comment ref="C202" authorId="0">
      <text>
        <r>
          <t>Optional. A section title shown above this exercise in the app, e.g. "Warm-Up" or "Finisher". Leave blank if this exercise continues the section above.</t>
        </r>
      </text>
    </comment>
    <comment ref="E202" authorId="0">
      <text>
        <r>
          <t>Optional notes for the section.</t>
        </r>
      </text>
    </comment>
    <comment ref="C204" authorId="0">
      <text>
        <r>
          <t>Only if the exercise is not in the library. Leave the library box above blank and pick a muscle group to the right.</t>
        </r>
      </text>
    </comment>
    <comment ref="E204" authorId="0">
      <text>
        <r>
          <t>Muscle group — required for a custom exercise.</t>
        </r>
      </text>
    </comment>
    <comment ref="C205" authorId="0">
      <text>
        <r>
          <t>Optional. Give exercises the same letter (A, B, …) to superset them. Paired in the order listed (A1, A2, …).</t>
        </r>
      </text>
    </comment>
    <comment ref="E205" authorId="0">
      <text>
        <r>
          <t>Optional cues for the client: tempo, rest, form.</t>
        </r>
      </text>
    </comment>
    <comment ref="C206" authorId="0">
      <text>
        <r>
          <t>Blank = Regular (or Super Set when a superset letter is set).</t>
        </r>
      </text>
    </comment>
    <comment ref="D206" authorId="0">
      <text>
        <r>
          <t>Optional goal weight. Blank = bodyweight / client chooses.</t>
        </r>
      </text>
    </comment>
    <comment ref="E206" authorId="0">
      <text>
        <r>
          <t>Goal reps for this set. A set row counts once Goal Reps is filled in.</t>
        </r>
      </text>
    </comment>
    <comment ref="F206" authorId="0">
      <text>
        <r>
          <t>Optional, e.g. 8-12.</t>
        </r>
      </text>
    </comment>
  </commentList>
</comments>
</file>

<file path=xl/comments5.xml><?xml version="1.0" encoding="utf-8"?>
<comments xmlns="http://schemas.openxmlformats.org/spreadsheetml/2006/main">
  <authors>
    <author>Author</author>
  </authors>
  <commentList>
    <comment ref="C6" authorId="0">
      <text>
        <r>
          <t>Optional. A section title shown above this exercise in the app, e.g. "Warm-Up" or "Finisher". Leave blank if this exercise continues the section above.</t>
        </r>
      </text>
    </comment>
    <comment ref="E6" authorId="0">
      <text>
        <r>
          <t>Optional notes for the section.</t>
        </r>
      </text>
    </comment>
    <comment ref="C8" authorId="0">
      <text>
        <r>
          <t>Only if the exercise is not in the library. Leave the library box above blank and pick a muscle group to the right.</t>
        </r>
      </text>
    </comment>
    <comment ref="E8" authorId="0">
      <text>
        <r>
          <t>Muscle group — required for a custom exercise.</t>
        </r>
      </text>
    </comment>
    <comment ref="C9" authorId="0">
      <text>
        <r>
          <t>Optional. Give exercises the same letter (A, B, …) to superset them. Paired in the order listed (A1, A2, …).</t>
        </r>
      </text>
    </comment>
    <comment ref="E9" authorId="0">
      <text>
        <r>
          <t>Optional cues for the client: tempo, rest, form.</t>
        </r>
      </text>
    </comment>
    <comment ref="C10" authorId="0">
      <text>
        <r>
          <t>Blank = Regular (or Super Set when a superset letter is set).</t>
        </r>
      </text>
    </comment>
    <comment ref="D10" authorId="0">
      <text>
        <r>
          <t>Optional goal weight. Blank = bodyweight / client chooses.</t>
        </r>
      </text>
    </comment>
    <comment ref="E10" authorId="0">
      <text>
        <r>
          <t>Goal reps for this set. A set row counts once Goal Reps is filled in.</t>
        </r>
      </text>
    </comment>
    <comment ref="F10" authorId="0">
      <text>
        <r>
          <t>Optional, e.g. 8-12.</t>
        </r>
      </text>
    </comment>
    <comment ref="C20" authorId="0">
      <text>
        <r>
          <t>Optional. A section title shown above this exercise in the app, e.g. "Warm-Up" or "Finisher". Leave blank if this exercise continues the section above.</t>
        </r>
      </text>
    </comment>
    <comment ref="E20" authorId="0">
      <text>
        <r>
          <t>Optional notes for the section.</t>
        </r>
      </text>
    </comment>
    <comment ref="C22" authorId="0">
      <text>
        <r>
          <t>Only if the exercise is not in the library. Leave the library box above blank and pick a muscle group to the right.</t>
        </r>
      </text>
    </comment>
    <comment ref="E22" authorId="0">
      <text>
        <r>
          <t>Muscle group — required for a custom exercise.</t>
        </r>
      </text>
    </comment>
    <comment ref="C23" authorId="0">
      <text>
        <r>
          <t>Optional. Give exercises the same letter (A, B, …) to superset them. Paired in the order listed (A1, A2, …).</t>
        </r>
      </text>
    </comment>
    <comment ref="E23" authorId="0">
      <text>
        <r>
          <t>Optional cues for the client: tempo, rest, form.</t>
        </r>
      </text>
    </comment>
    <comment ref="C24" authorId="0">
      <text>
        <r>
          <t>Blank = Regular (or Super Set when a superset letter is set).</t>
        </r>
      </text>
    </comment>
    <comment ref="D24" authorId="0">
      <text>
        <r>
          <t>Optional goal weight. Blank = bodyweight / client chooses.</t>
        </r>
      </text>
    </comment>
    <comment ref="E24" authorId="0">
      <text>
        <r>
          <t>Goal reps for this set. A set row counts once Goal Reps is filled in.</t>
        </r>
      </text>
    </comment>
    <comment ref="F24" authorId="0">
      <text>
        <r>
          <t>Optional, e.g. 8-12.</t>
        </r>
      </text>
    </comment>
    <comment ref="C34" authorId="0">
      <text>
        <r>
          <t>Optional. A section title shown above this exercise in the app, e.g. "Warm-Up" or "Finisher". Leave blank if this exercise continues the section above.</t>
        </r>
      </text>
    </comment>
    <comment ref="E34" authorId="0">
      <text>
        <r>
          <t>Optional notes for the section.</t>
        </r>
      </text>
    </comment>
    <comment ref="C36" authorId="0">
      <text>
        <r>
          <t>Only if the exercise is not in the library. Leave the library box above blank and pick a muscle group to the right.</t>
        </r>
      </text>
    </comment>
    <comment ref="E36" authorId="0">
      <text>
        <r>
          <t>Muscle group — required for a custom exercise.</t>
        </r>
      </text>
    </comment>
    <comment ref="C37" authorId="0">
      <text>
        <r>
          <t>Optional. Give exercises the same letter (A, B, …) to superset them. Paired in the order listed (A1, A2, …).</t>
        </r>
      </text>
    </comment>
    <comment ref="E37" authorId="0">
      <text>
        <r>
          <t>Optional cues for the client: tempo, rest, form.</t>
        </r>
      </text>
    </comment>
    <comment ref="C38" authorId="0">
      <text>
        <r>
          <t>Blank = Regular (or Super Set when a superset letter is set).</t>
        </r>
      </text>
    </comment>
    <comment ref="D38" authorId="0">
      <text>
        <r>
          <t>Optional goal weight. Blank = bodyweight / client chooses.</t>
        </r>
      </text>
    </comment>
    <comment ref="E38" authorId="0">
      <text>
        <r>
          <t>Goal reps for this set. A set row counts once Goal Reps is filled in.</t>
        </r>
      </text>
    </comment>
    <comment ref="F38" authorId="0">
      <text>
        <r>
          <t>Optional, e.g. 8-12.</t>
        </r>
      </text>
    </comment>
    <comment ref="C48" authorId="0">
      <text>
        <r>
          <t>Optional. A section title shown above this exercise in the app, e.g. "Warm-Up" or "Finisher". Leave blank if this exercise continues the section above.</t>
        </r>
      </text>
    </comment>
    <comment ref="E48" authorId="0">
      <text>
        <r>
          <t>Optional notes for the section.</t>
        </r>
      </text>
    </comment>
    <comment ref="C50" authorId="0">
      <text>
        <r>
          <t>Only if the exercise is not in the library. Leave the library box above blank and pick a muscle group to the right.</t>
        </r>
      </text>
    </comment>
    <comment ref="E50" authorId="0">
      <text>
        <r>
          <t>Muscle group — required for a custom exercise.</t>
        </r>
      </text>
    </comment>
    <comment ref="C51" authorId="0">
      <text>
        <r>
          <t>Optional. Give exercises the same letter (A, B, …) to superset them. Paired in the order listed (A1, A2, …).</t>
        </r>
      </text>
    </comment>
    <comment ref="E51" authorId="0">
      <text>
        <r>
          <t>Optional cues for the client: tempo, rest, form.</t>
        </r>
      </text>
    </comment>
    <comment ref="C52" authorId="0">
      <text>
        <r>
          <t>Blank = Regular (or Super Set when a superset letter is set).</t>
        </r>
      </text>
    </comment>
    <comment ref="D52" authorId="0">
      <text>
        <r>
          <t>Optional goal weight. Blank = bodyweight / client chooses.</t>
        </r>
      </text>
    </comment>
    <comment ref="E52" authorId="0">
      <text>
        <r>
          <t>Goal reps for this set. A set row counts once Goal Reps is filled in.</t>
        </r>
      </text>
    </comment>
    <comment ref="F52" authorId="0">
      <text>
        <r>
          <t>Optional, e.g. 8-12.</t>
        </r>
      </text>
    </comment>
    <comment ref="C62" authorId="0">
      <text>
        <r>
          <t>Optional. A section title shown above this exercise in the app, e.g. "Warm-Up" or "Finisher". Leave blank if this exercise continues the section above.</t>
        </r>
      </text>
    </comment>
    <comment ref="E62" authorId="0">
      <text>
        <r>
          <t>Optional notes for the section.</t>
        </r>
      </text>
    </comment>
    <comment ref="C64" authorId="0">
      <text>
        <r>
          <t>Only if the exercise is not in the library. Leave the library box above blank and pick a muscle group to the right.</t>
        </r>
      </text>
    </comment>
    <comment ref="E64" authorId="0">
      <text>
        <r>
          <t>Muscle group — required for a custom exercise.</t>
        </r>
      </text>
    </comment>
    <comment ref="C65" authorId="0">
      <text>
        <r>
          <t>Optional. Give exercises the same letter (A, B, …) to superset them. Paired in the order listed (A1, A2, …).</t>
        </r>
      </text>
    </comment>
    <comment ref="E65" authorId="0">
      <text>
        <r>
          <t>Optional cues for the client: tempo, rest, form.</t>
        </r>
      </text>
    </comment>
    <comment ref="C66" authorId="0">
      <text>
        <r>
          <t>Blank = Regular (or Super Set when a superset letter is set).</t>
        </r>
      </text>
    </comment>
    <comment ref="D66" authorId="0">
      <text>
        <r>
          <t>Optional goal weight. Blank = bodyweight / client chooses.</t>
        </r>
      </text>
    </comment>
    <comment ref="E66" authorId="0">
      <text>
        <r>
          <t>Goal reps for this set. A set row counts once Goal Reps is filled in.</t>
        </r>
      </text>
    </comment>
    <comment ref="F66" authorId="0">
      <text>
        <r>
          <t>Optional, e.g. 8-12.</t>
        </r>
      </text>
    </comment>
    <comment ref="C76" authorId="0">
      <text>
        <r>
          <t>Optional. A section title shown above this exercise in the app, e.g. "Warm-Up" or "Finisher". Leave blank if this exercise continues the section above.</t>
        </r>
      </text>
    </comment>
    <comment ref="E76" authorId="0">
      <text>
        <r>
          <t>Optional notes for the section.</t>
        </r>
      </text>
    </comment>
    <comment ref="C78" authorId="0">
      <text>
        <r>
          <t>Only if the exercise is not in the library. Leave the library box above blank and pick a muscle group to the right.</t>
        </r>
      </text>
    </comment>
    <comment ref="E78" authorId="0">
      <text>
        <r>
          <t>Muscle group — required for a custom exercise.</t>
        </r>
      </text>
    </comment>
    <comment ref="C79" authorId="0">
      <text>
        <r>
          <t>Optional. Give exercises the same letter (A, B, …) to superset them. Paired in the order listed (A1, A2, …).</t>
        </r>
      </text>
    </comment>
    <comment ref="E79" authorId="0">
      <text>
        <r>
          <t>Optional cues for the client: tempo, rest, form.</t>
        </r>
      </text>
    </comment>
    <comment ref="C80" authorId="0">
      <text>
        <r>
          <t>Blank = Regular (or Super Set when a superset letter is set).</t>
        </r>
      </text>
    </comment>
    <comment ref="D80" authorId="0">
      <text>
        <r>
          <t>Optional goal weight. Blank = bodyweight / client chooses.</t>
        </r>
      </text>
    </comment>
    <comment ref="E80" authorId="0">
      <text>
        <r>
          <t>Goal reps for this set. A set row counts once Goal Reps is filled in.</t>
        </r>
      </text>
    </comment>
    <comment ref="F80" authorId="0">
      <text>
        <r>
          <t>Optional, e.g. 8-12.</t>
        </r>
      </text>
    </comment>
    <comment ref="C90" authorId="0">
      <text>
        <r>
          <t>Optional. A section title shown above this exercise in the app, e.g. "Warm-Up" or "Finisher". Leave blank if this exercise continues the section above.</t>
        </r>
      </text>
    </comment>
    <comment ref="E90" authorId="0">
      <text>
        <r>
          <t>Optional notes for the section.</t>
        </r>
      </text>
    </comment>
    <comment ref="C92" authorId="0">
      <text>
        <r>
          <t>Only if the exercise is not in the library. Leave the library box above blank and pick a muscle group to the right.</t>
        </r>
      </text>
    </comment>
    <comment ref="E92" authorId="0">
      <text>
        <r>
          <t>Muscle group — required for a custom exercise.</t>
        </r>
      </text>
    </comment>
    <comment ref="C93" authorId="0">
      <text>
        <r>
          <t>Optional. Give exercises the same letter (A, B, …) to superset them. Paired in the order listed (A1, A2, …).</t>
        </r>
      </text>
    </comment>
    <comment ref="E93" authorId="0">
      <text>
        <r>
          <t>Optional cues for the client: tempo, rest, form.</t>
        </r>
      </text>
    </comment>
    <comment ref="C94" authorId="0">
      <text>
        <r>
          <t>Blank = Regular (or Super Set when a superset letter is set).</t>
        </r>
      </text>
    </comment>
    <comment ref="D94" authorId="0">
      <text>
        <r>
          <t>Optional goal weight. Blank = bodyweight / client chooses.</t>
        </r>
      </text>
    </comment>
    <comment ref="E94" authorId="0">
      <text>
        <r>
          <t>Goal reps for this set. A set row counts once Goal Reps is filled in.</t>
        </r>
      </text>
    </comment>
    <comment ref="F94" authorId="0">
      <text>
        <r>
          <t>Optional, e.g. 8-12.</t>
        </r>
      </text>
    </comment>
    <comment ref="C104" authorId="0">
      <text>
        <r>
          <t>Optional. A section title shown above this exercise in the app, e.g. "Warm-Up" or "Finisher". Leave blank if this exercise continues the section above.</t>
        </r>
      </text>
    </comment>
    <comment ref="E104" authorId="0">
      <text>
        <r>
          <t>Optional notes for the section.</t>
        </r>
      </text>
    </comment>
    <comment ref="C106" authorId="0">
      <text>
        <r>
          <t>Only if the exercise is not in the library. Leave the library box above blank and pick a muscle group to the right.</t>
        </r>
      </text>
    </comment>
    <comment ref="E106" authorId="0">
      <text>
        <r>
          <t>Muscle group — required for a custom exercise.</t>
        </r>
      </text>
    </comment>
    <comment ref="C107" authorId="0">
      <text>
        <r>
          <t>Optional. Give exercises the same letter (A, B, …) to superset them. Paired in the order listed (A1, A2, …).</t>
        </r>
      </text>
    </comment>
    <comment ref="E107" authorId="0">
      <text>
        <r>
          <t>Optional cues for the client: tempo, rest, form.</t>
        </r>
      </text>
    </comment>
    <comment ref="C108" authorId="0">
      <text>
        <r>
          <t>Blank = Regular (or Super Set when a superset letter is set).</t>
        </r>
      </text>
    </comment>
    <comment ref="D108" authorId="0">
      <text>
        <r>
          <t>Optional goal weight. Blank = bodyweight / client chooses.</t>
        </r>
      </text>
    </comment>
    <comment ref="E108" authorId="0">
      <text>
        <r>
          <t>Goal reps for this set. A set row counts once Goal Reps is filled in.</t>
        </r>
      </text>
    </comment>
    <comment ref="F108" authorId="0">
      <text>
        <r>
          <t>Optional, e.g. 8-12.</t>
        </r>
      </text>
    </comment>
    <comment ref="C118" authorId="0">
      <text>
        <r>
          <t>Optional. A section title shown above this exercise in the app, e.g. "Warm-Up" or "Finisher". Leave blank if this exercise continues the section above.</t>
        </r>
      </text>
    </comment>
    <comment ref="E118" authorId="0">
      <text>
        <r>
          <t>Optional notes for the section.</t>
        </r>
      </text>
    </comment>
    <comment ref="C120" authorId="0">
      <text>
        <r>
          <t>Only if the exercise is not in the library. Leave the library box above blank and pick a muscle group to the right.</t>
        </r>
      </text>
    </comment>
    <comment ref="E120" authorId="0">
      <text>
        <r>
          <t>Muscle group — required for a custom exercise.</t>
        </r>
      </text>
    </comment>
    <comment ref="C121" authorId="0">
      <text>
        <r>
          <t>Optional. Give exercises the same letter (A, B, …) to superset them. Paired in the order listed (A1, A2, …).</t>
        </r>
      </text>
    </comment>
    <comment ref="E121" authorId="0">
      <text>
        <r>
          <t>Optional cues for the client: tempo, rest, form.</t>
        </r>
      </text>
    </comment>
    <comment ref="C122" authorId="0">
      <text>
        <r>
          <t>Blank = Regular (or Super Set when a superset letter is set).</t>
        </r>
      </text>
    </comment>
    <comment ref="D122" authorId="0">
      <text>
        <r>
          <t>Optional goal weight. Blank = bodyweight / client chooses.</t>
        </r>
      </text>
    </comment>
    <comment ref="E122" authorId="0">
      <text>
        <r>
          <t>Goal reps for this set. A set row counts once Goal Reps is filled in.</t>
        </r>
      </text>
    </comment>
    <comment ref="F122" authorId="0">
      <text>
        <r>
          <t>Optional, e.g. 8-12.</t>
        </r>
      </text>
    </comment>
    <comment ref="C132" authorId="0">
      <text>
        <r>
          <t>Optional. A section title shown above this exercise in the app, e.g. "Warm-Up" or "Finisher". Leave blank if this exercise continues the section above.</t>
        </r>
      </text>
    </comment>
    <comment ref="E132" authorId="0">
      <text>
        <r>
          <t>Optional notes for the section.</t>
        </r>
      </text>
    </comment>
    <comment ref="C134" authorId="0">
      <text>
        <r>
          <t>Only if the exercise is not in the library. Leave the library box above blank and pick a muscle group to the right.</t>
        </r>
      </text>
    </comment>
    <comment ref="E134" authorId="0">
      <text>
        <r>
          <t>Muscle group — required for a custom exercise.</t>
        </r>
      </text>
    </comment>
    <comment ref="C135" authorId="0">
      <text>
        <r>
          <t>Optional. Give exercises the same letter (A, B, …) to superset them. Paired in the order listed (A1, A2, …).</t>
        </r>
      </text>
    </comment>
    <comment ref="E135" authorId="0">
      <text>
        <r>
          <t>Optional cues for the client: tempo, rest, form.</t>
        </r>
      </text>
    </comment>
    <comment ref="C136" authorId="0">
      <text>
        <r>
          <t>Blank = Regular (or Super Set when a superset letter is set).</t>
        </r>
      </text>
    </comment>
    <comment ref="D136" authorId="0">
      <text>
        <r>
          <t>Optional goal weight. Blank = bodyweight / client chooses.</t>
        </r>
      </text>
    </comment>
    <comment ref="E136" authorId="0">
      <text>
        <r>
          <t>Goal reps for this set. A set row counts once Goal Reps is filled in.</t>
        </r>
      </text>
    </comment>
    <comment ref="F136" authorId="0">
      <text>
        <r>
          <t>Optional, e.g. 8-12.</t>
        </r>
      </text>
    </comment>
    <comment ref="C146" authorId="0">
      <text>
        <r>
          <t>Optional. A section title shown above this exercise in the app, e.g. "Warm-Up" or "Finisher". Leave blank if this exercise continues the section above.</t>
        </r>
      </text>
    </comment>
    <comment ref="E146" authorId="0">
      <text>
        <r>
          <t>Optional notes for the section.</t>
        </r>
      </text>
    </comment>
    <comment ref="C148" authorId="0">
      <text>
        <r>
          <t>Only if the exercise is not in the library. Leave the library box above blank and pick a muscle group to the right.</t>
        </r>
      </text>
    </comment>
    <comment ref="E148" authorId="0">
      <text>
        <r>
          <t>Muscle group — required for a custom exercise.</t>
        </r>
      </text>
    </comment>
    <comment ref="C149" authorId="0">
      <text>
        <r>
          <t>Optional. Give exercises the same letter (A, B, …) to superset them. Paired in the order listed (A1, A2, …).</t>
        </r>
      </text>
    </comment>
    <comment ref="E149" authorId="0">
      <text>
        <r>
          <t>Optional cues for the client: tempo, rest, form.</t>
        </r>
      </text>
    </comment>
    <comment ref="C150" authorId="0">
      <text>
        <r>
          <t>Blank = Regular (or Super Set when a superset letter is set).</t>
        </r>
      </text>
    </comment>
    <comment ref="D150" authorId="0">
      <text>
        <r>
          <t>Optional goal weight. Blank = bodyweight / client chooses.</t>
        </r>
      </text>
    </comment>
    <comment ref="E150" authorId="0">
      <text>
        <r>
          <t>Goal reps for this set. A set row counts once Goal Reps is filled in.</t>
        </r>
      </text>
    </comment>
    <comment ref="F150" authorId="0">
      <text>
        <r>
          <t>Optional, e.g. 8-12.</t>
        </r>
      </text>
    </comment>
    <comment ref="C160" authorId="0">
      <text>
        <r>
          <t>Optional. A section title shown above this exercise in the app, e.g. "Warm-Up" or "Finisher". Leave blank if this exercise continues the section above.</t>
        </r>
      </text>
    </comment>
    <comment ref="E160" authorId="0">
      <text>
        <r>
          <t>Optional notes for the section.</t>
        </r>
      </text>
    </comment>
    <comment ref="C162" authorId="0">
      <text>
        <r>
          <t>Only if the exercise is not in the library. Leave the library box above blank and pick a muscle group to the right.</t>
        </r>
      </text>
    </comment>
    <comment ref="E162" authorId="0">
      <text>
        <r>
          <t>Muscle group — required for a custom exercise.</t>
        </r>
      </text>
    </comment>
    <comment ref="C163" authorId="0">
      <text>
        <r>
          <t>Optional. Give exercises the same letter (A, B, …) to superset them. Paired in the order listed (A1, A2, …).</t>
        </r>
      </text>
    </comment>
    <comment ref="E163" authorId="0">
      <text>
        <r>
          <t>Optional cues for the client: tempo, rest, form.</t>
        </r>
      </text>
    </comment>
    <comment ref="C164" authorId="0">
      <text>
        <r>
          <t>Blank = Regular (or Super Set when a superset letter is set).</t>
        </r>
      </text>
    </comment>
    <comment ref="D164" authorId="0">
      <text>
        <r>
          <t>Optional goal weight. Blank = bodyweight / client chooses.</t>
        </r>
      </text>
    </comment>
    <comment ref="E164" authorId="0">
      <text>
        <r>
          <t>Goal reps for this set. A set row counts once Goal Reps is filled in.</t>
        </r>
      </text>
    </comment>
    <comment ref="F164" authorId="0">
      <text>
        <r>
          <t>Optional, e.g. 8-12.</t>
        </r>
      </text>
    </comment>
    <comment ref="C174" authorId="0">
      <text>
        <r>
          <t>Optional. A section title shown above this exercise in the app, e.g. "Warm-Up" or "Finisher". Leave blank if this exercise continues the section above.</t>
        </r>
      </text>
    </comment>
    <comment ref="E174" authorId="0">
      <text>
        <r>
          <t>Optional notes for the section.</t>
        </r>
      </text>
    </comment>
    <comment ref="C176" authorId="0">
      <text>
        <r>
          <t>Only if the exercise is not in the library. Leave the library box above blank and pick a muscle group to the right.</t>
        </r>
      </text>
    </comment>
    <comment ref="E176" authorId="0">
      <text>
        <r>
          <t>Muscle group — required for a custom exercise.</t>
        </r>
      </text>
    </comment>
    <comment ref="C177" authorId="0">
      <text>
        <r>
          <t>Optional. Give exercises the same letter (A, B, …) to superset them. Paired in the order listed (A1, A2, …).</t>
        </r>
      </text>
    </comment>
    <comment ref="E177" authorId="0">
      <text>
        <r>
          <t>Optional cues for the client: tempo, rest, form.</t>
        </r>
      </text>
    </comment>
    <comment ref="C178" authorId="0">
      <text>
        <r>
          <t>Blank = Regular (or Super Set when a superset letter is set).</t>
        </r>
      </text>
    </comment>
    <comment ref="D178" authorId="0">
      <text>
        <r>
          <t>Optional goal weight. Blank = bodyweight / client chooses.</t>
        </r>
      </text>
    </comment>
    <comment ref="E178" authorId="0">
      <text>
        <r>
          <t>Goal reps for this set. A set row counts once Goal Reps is filled in.</t>
        </r>
      </text>
    </comment>
    <comment ref="F178" authorId="0">
      <text>
        <r>
          <t>Optional, e.g. 8-12.</t>
        </r>
      </text>
    </comment>
    <comment ref="C188" authorId="0">
      <text>
        <r>
          <t>Optional. A section title shown above this exercise in the app, e.g. "Warm-Up" or "Finisher". Leave blank if this exercise continues the section above.</t>
        </r>
      </text>
    </comment>
    <comment ref="E188" authorId="0">
      <text>
        <r>
          <t>Optional notes for the section.</t>
        </r>
      </text>
    </comment>
    <comment ref="C190" authorId="0">
      <text>
        <r>
          <t>Only if the exercise is not in the library. Leave the library box above blank and pick a muscle group to the right.</t>
        </r>
      </text>
    </comment>
    <comment ref="E190" authorId="0">
      <text>
        <r>
          <t>Muscle group — required for a custom exercise.</t>
        </r>
      </text>
    </comment>
    <comment ref="C191" authorId="0">
      <text>
        <r>
          <t>Optional. Give exercises the same letter (A, B, …) to superset them. Paired in the order listed (A1, A2, …).</t>
        </r>
      </text>
    </comment>
    <comment ref="E191" authorId="0">
      <text>
        <r>
          <t>Optional cues for the client: tempo, rest, form.</t>
        </r>
      </text>
    </comment>
    <comment ref="C192" authorId="0">
      <text>
        <r>
          <t>Blank = Regular (or Super Set when a superset letter is set).</t>
        </r>
      </text>
    </comment>
    <comment ref="D192" authorId="0">
      <text>
        <r>
          <t>Optional goal weight. Blank = bodyweight / client chooses.</t>
        </r>
      </text>
    </comment>
    <comment ref="E192" authorId="0">
      <text>
        <r>
          <t>Goal reps for this set. A set row counts once Goal Reps is filled in.</t>
        </r>
      </text>
    </comment>
    <comment ref="F192" authorId="0">
      <text>
        <r>
          <t>Optional, e.g. 8-12.</t>
        </r>
      </text>
    </comment>
    <comment ref="C202" authorId="0">
      <text>
        <r>
          <t>Optional. A section title shown above this exercise in the app, e.g. "Warm-Up" or "Finisher". Leave blank if this exercise continues the section above.</t>
        </r>
      </text>
    </comment>
    <comment ref="E202" authorId="0">
      <text>
        <r>
          <t>Optional notes for the section.</t>
        </r>
      </text>
    </comment>
    <comment ref="C204" authorId="0">
      <text>
        <r>
          <t>Only if the exercise is not in the library. Leave the library box above blank and pick a muscle group to the right.</t>
        </r>
      </text>
    </comment>
    <comment ref="E204" authorId="0">
      <text>
        <r>
          <t>Muscle group — required for a custom exercise.</t>
        </r>
      </text>
    </comment>
    <comment ref="C205" authorId="0">
      <text>
        <r>
          <t>Optional. Give exercises the same letter (A, B, …) to superset them. Paired in the order listed (A1, A2, …).</t>
        </r>
      </text>
    </comment>
    <comment ref="E205" authorId="0">
      <text>
        <r>
          <t>Optional cues for the client: tempo, rest, form.</t>
        </r>
      </text>
    </comment>
    <comment ref="C206" authorId="0">
      <text>
        <r>
          <t>Blank = Regular (or Super Set when a superset letter is set).</t>
        </r>
      </text>
    </comment>
    <comment ref="D206" authorId="0">
      <text>
        <r>
          <t>Optional goal weight. Blank = bodyweight / client chooses.</t>
        </r>
      </text>
    </comment>
    <comment ref="E206" authorId="0">
      <text>
        <r>
          <t>Goal reps for this set. A set row counts once Goal Reps is filled in.</t>
        </r>
      </text>
    </comment>
    <comment ref="F206" authorId="0">
      <text>
        <r>
          <t>Optional, e.g. 8-12.</t>
        </r>
      </text>
    </comment>
  </commentList>
</comments>
</file>

<file path=xl/comments6.xml><?xml version="1.0" encoding="utf-8"?>
<comments xmlns="http://schemas.openxmlformats.org/spreadsheetml/2006/main">
  <authors>
    <author>Author</author>
  </authors>
  <commentList>
    <comment ref="C6" authorId="0">
      <text>
        <r>
          <t>Optional. A section title shown above this exercise in the app, e.g. "Warm-Up" or "Finisher". Leave blank if this exercise continues the section above.</t>
        </r>
      </text>
    </comment>
    <comment ref="E6" authorId="0">
      <text>
        <r>
          <t>Optional notes for the section.</t>
        </r>
      </text>
    </comment>
    <comment ref="C8" authorId="0">
      <text>
        <r>
          <t>Only if the exercise is not in the library. Leave the library box above blank and pick a muscle group to the right.</t>
        </r>
      </text>
    </comment>
    <comment ref="E8" authorId="0">
      <text>
        <r>
          <t>Muscle group — required for a custom exercise.</t>
        </r>
      </text>
    </comment>
    <comment ref="C9" authorId="0">
      <text>
        <r>
          <t>Optional. Give exercises the same letter (A, B, …) to superset them. Paired in the order listed (A1, A2, …).</t>
        </r>
      </text>
    </comment>
    <comment ref="E9" authorId="0">
      <text>
        <r>
          <t>Optional cues for the client: tempo, rest, form.</t>
        </r>
      </text>
    </comment>
    <comment ref="C10" authorId="0">
      <text>
        <r>
          <t>Blank = Regular (or Super Set when a superset letter is set).</t>
        </r>
      </text>
    </comment>
    <comment ref="D10" authorId="0">
      <text>
        <r>
          <t>Optional goal weight. Blank = bodyweight / client chooses.</t>
        </r>
      </text>
    </comment>
    <comment ref="E10" authorId="0">
      <text>
        <r>
          <t>Goal reps for this set. A set row counts once Goal Reps is filled in.</t>
        </r>
      </text>
    </comment>
    <comment ref="F10" authorId="0">
      <text>
        <r>
          <t>Optional, e.g. 8-12.</t>
        </r>
      </text>
    </comment>
    <comment ref="C20" authorId="0">
      <text>
        <r>
          <t>Optional. A section title shown above this exercise in the app, e.g. "Warm-Up" or "Finisher". Leave blank if this exercise continues the section above.</t>
        </r>
      </text>
    </comment>
    <comment ref="E20" authorId="0">
      <text>
        <r>
          <t>Optional notes for the section.</t>
        </r>
      </text>
    </comment>
    <comment ref="C22" authorId="0">
      <text>
        <r>
          <t>Only if the exercise is not in the library. Leave the library box above blank and pick a muscle group to the right.</t>
        </r>
      </text>
    </comment>
    <comment ref="E22" authorId="0">
      <text>
        <r>
          <t>Muscle group — required for a custom exercise.</t>
        </r>
      </text>
    </comment>
    <comment ref="C23" authorId="0">
      <text>
        <r>
          <t>Optional. Give exercises the same letter (A, B, …) to superset them. Paired in the order listed (A1, A2, …).</t>
        </r>
      </text>
    </comment>
    <comment ref="E23" authorId="0">
      <text>
        <r>
          <t>Optional cues for the client: tempo, rest, form.</t>
        </r>
      </text>
    </comment>
    <comment ref="C24" authorId="0">
      <text>
        <r>
          <t>Blank = Regular (or Super Set when a superset letter is set).</t>
        </r>
      </text>
    </comment>
    <comment ref="D24" authorId="0">
      <text>
        <r>
          <t>Optional goal weight. Blank = bodyweight / client chooses.</t>
        </r>
      </text>
    </comment>
    <comment ref="E24" authorId="0">
      <text>
        <r>
          <t>Goal reps for this set. A set row counts once Goal Reps is filled in.</t>
        </r>
      </text>
    </comment>
    <comment ref="F24" authorId="0">
      <text>
        <r>
          <t>Optional, e.g. 8-12.</t>
        </r>
      </text>
    </comment>
    <comment ref="C34" authorId="0">
      <text>
        <r>
          <t>Optional. A section title shown above this exercise in the app, e.g. "Warm-Up" or "Finisher". Leave blank if this exercise continues the section above.</t>
        </r>
      </text>
    </comment>
    <comment ref="E34" authorId="0">
      <text>
        <r>
          <t>Optional notes for the section.</t>
        </r>
      </text>
    </comment>
    <comment ref="C36" authorId="0">
      <text>
        <r>
          <t>Only if the exercise is not in the library. Leave the library box above blank and pick a muscle group to the right.</t>
        </r>
      </text>
    </comment>
    <comment ref="E36" authorId="0">
      <text>
        <r>
          <t>Muscle group — required for a custom exercise.</t>
        </r>
      </text>
    </comment>
    <comment ref="C37" authorId="0">
      <text>
        <r>
          <t>Optional. Give exercises the same letter (A, B, …) to superset them. Paired in the order listed (A1, A2, …).</t>
        </r>
      </text>
    </comment>
    <comment ref="E37" authorId="0">
      <text>
        <r>
          <t>Optional cues for the client: tempo, rest, form.</t>
        </r>
      </text>
    </comment>
    <comment ref="C38" authorId="0">
      <text>
        <r>
          <t>Blank = Regular (or Super Set when a superset letter is set).</t>
        </r>
      </text>
    </comment>
    <comment ref="D38" authorId="0">
      <text>
        <r>
          <t>Optional goal weight. Blank = bodyweight / client chooses.</t>
        </r>
      </text>
    </comment>
    <comment ref="E38" authorId="0">
      <text>
        <r>
          <t>Goal reps for this set. A set row counts once Goal Reps is filled in.</t>
        </r>
      </text>
    </comment>
    <comment ref="F38" authorId="0">
      <text>
        <r>
          <t>Optional, e.g. 8-12.</t>
        </r>
      </text>
    </comment>
    <comment ref="C48" authorId="0">
      <text>
        <r>
          <t>Optional. A section title shown above this exercise in the app, e.g. "Warm-Up" or "Finisher". Leave blank if this exercise continues the section above.</t>
        </r>
      </text>
    </comment>
    <comment ref="E48" authorId="0">
      <text>
        <r>
          <t>Optional notes for the section.</t>
        </r>
      </text>
    </comment>
    <comment ref="C50" authorId="0">
      <text>
        <r>
          <t>Only if the exercise is not in the library. Leave the library box above blank and pick a muscle group to the right.</t>
        </r>
      </text>
    </comment>
    <comment ref="E50" authorId="0">
      <text>
        <r>
          <t>Muscle group — required for a custom exercise.</t>
        </r>
      </text>
    </comment>
    <comment ref="C51" authorId="0">
      <text>
        <r>
          <t>Optional. Give exercises the same letter (A, B, …) to superset them. Paired in the order listed (A1, A2, …).</t>
        </r>
      </text>
    </comment>
    <comment ref="E51" authorId="0">
      <text>
        <r>
          <t>Optional cues for the client: tempo, rest, form.</t>
        </r>
      </text>
    </comment>
    <comment ref="C52" authorId="0">
      <text>
        <r>
          <t>Blank = Regular (or Super Set when a superset letter is set).</t>
        </r>
      </text>
    </comment>
    <comment ref="D52" authorId="0">
      <text>
        <r>
          <t>Optional goal weight. Blank = bodyweight / client chooses.</t>
        </r>
      </text>
    </comment>
    <comment ref="E52" authorId="0">
      <text>
        <r>
          <t>Goal reps for this set. A set row counts once Goal Reps is filled in.</t>
        </r>
      </text>
    </comment>
    <comment ref="F52" authorId="0">
      <text>
        <r>
          <t>Optional, e.g. 8-12.</t>
        </r>
      </text>
    </comment>
    <comment ref="C62" authorId="0">
      <text>
        <r>
          <t>Optional. A section title shown above this exercise in the app, e.g. "Warm-Up" or "Finisher". Leave blank if this exercise continues the section above.</t>
        </r>
      </text>
    </comment>
    <comment ref="E62" authorId="0">
      <text>
        <r>
          <t>Optional notes for the section.</t>
        </r>
      </text>
    </comment>
    <comment ref="C64" authorId="0">
      <text>
        <r>
          <t>Only if the exercise is not in the library. Leave the library box above blank and pick a muscle group to the right.</t>
        </r>
      </text>
    </comment>
    <comment ref="E64" authorId="0">
      <text>
        <r>
          <t>Muscle group — required for a custom exercise.</t>
        </r>
      </text>
    </comment>
    <comment ref="C65" authorId="0">
      <text>
        <r>
          <t>Optional. Give exercises the same letter (A, B, …) to superset them. Paired in the order listed (A1, A2, …).</t>
        </r>
      </text>
    </comment>
    <comment ref="E65" authorId="0">
      <text>
        <r>
          <t>Optional cues for the client: tempo, rest, form.</t>
        </r>
      </text>
    </comment>
    <comment ref="C66" authorId="0">
      <text>
        <r>
          <t>Blank = Regular (or Super Set when a superset letter is set).</t>
        </r>
      </text>
    </comment>
    <comment ref="D66" authorId="0">
      <text>
        <r>
          <t>Optional goal weight. Blank = bodyweight / client chooses.</t>
        </r>
      </text>
    </comment>
    <comment ref="E66" authorId="0">
      <text>
        <r>
          <t>Goal reps for this set. A set row counts once Goal Reps is filled in.</t>
        </r>
      </text>
    </comment>
    <comment ref="F66" authorId="0">
      <text>
        <r>
          <t>Optional, e.g. 8-12.</t>
        </r>
      </text>
    </comment>
    <comment ref="C76" authorId="0">
      <text>
        <r>
          <t>Optional. A section title shown above this exercise in the app, e.g. "Warm-Up" or "Finisher". Leave blank if this exercise continues the section above.</t>
        </r>
      </text>
    </comment>
    <comment ref="E76" authorId="0">
      <text>
        <r>
          <t>Optional notes for the section.</t>
        </r>
      </text>
    </comment>
    <comment ref="C78" authorId="0">
      <text>
        <r>
          <t>Only if the exercise is not in the library. Leave the library box above blank and pick a muscle group to the right.</t>
        </r>
      </text>
    </comment>
    <comment ref="E78" authorId="0">
      <text>
        <r>
          <t>Muscle group — required for a custom exercise.</t>
        </r>
      </text>
    </comment>
    <comment ref="C79" authorId="0">
      <text>
        <r>
          <t>Optional. Give exercises the same letter (A, B, …) to superset them. Paired in the order listed (A1, A2, …).</t>
        </r>
      </text>
    </comment>
    <comment ref="E79" authorId="0">
      <text>
        <r>
          <t>Optional cues for the client: tempo, rest, form.</t>
        </r>
      </text>
    </comment>
    <comment ref="C80" authorId="0">
      <text>
        <r>
          <t>Blank = Regular (or Super Set when a superset letter is set).</t>
        </r>
      </text>
    </comment>
    <comment ref="D80" authorId="0">
      <text>
        <r>
          <t>Optional goal weight. Blank = bodyweight / client chooses.</t>
        </r>
      </text>
    </comment>
    <comment ref="E80" authorId="0">
      <text>
        <r>
          <t>Goal reps for this set. A set row counts once Goal Reps is filled in.</t>
        </r>
      </text>
    </comment>
    <comment ref="F80" authorId="0">
      <text>
        <r>
          <t>Optional, e.g. 8-12.</t>
        </r>
      </text>
    </comment>
    <comment ref="C90" authorId="0">
      <text>
        <r>
          <t>Optional. A section title shown above this exercise in the app, e.g. "Warm-Up" or "Finisher". Leave blank if this exercise continues the section above.</t>
        </r>
      </text>
    </comment>
    <comment ref="E90" authorId="0">
      <text>
        <r>
          <t>Optional notes for the section.</t>
        </r>
      </text>
    </comment>
    <comment ref="C92" authorId="0">
      <text>
        <r>
          <t>Only if the exercise is not in the library. Leave the library box above blank and pick a muscle group to the right.</t>
        </r>
      </text>
    </comment>
    <comment ref="E92" authorId="0">
      <text>
        <r>
          <t>Muscle group — required for a custom exercise.</t>
        </r>
      </text>
    </comment>
    <comment ref="C93" authorId="0">
      <text>
        <r>
          <t>Optional. Give exercises the same letter (A, B, …) to superset them. Paired in the order listed (A1, A2, …).</t>
        </r>
      </text>
    </comment>
    <comment ref="E93" authorId="0">
      <text>
        <r>
          <t>Optional cues for the client: tempo, rest, form.</t>
        </r>
      </text>
    </comment>
    <comment ref="C94" authorId="0">
      <text>
        <r>
          <t>Blank = Regular (or Super Set when a superset letter is set).</t>
        </r>
      </text>
    </comment>
    <comment ref="D94" authorId="0">
      <text>
        <r>
          <t>Optional goal weight. Blank = bodyweight / client chooses.</t>
        </r>
      </text>
    </comment>
    <comment ref="E94" authorId="0">
      <text>
        <r>
          <t>Goal reps for this set. A set row counts once Goal Reps is filled in.</t>
        </r>
      </text>
    </comment>
    <comment ref="F94" authorId="0">
      <text>
        <r>
          <t>Optional, e.g. 8-12.</t>
        </r>
      </text>
    </comment>
    <comment ref="C104" authorId="0">
      <text>
        <r>
          <t>Optional. A section title shown above this exercise in the app, e.g. "Warm-Up" or "Finisher". Leave blank if this exercise continues the section above.</t>
        </r>
      </text>
    </comment>
    <comment ref="E104" authorId="0">
      <text>
        <r>
          <t>Optional notes for the section.</t>
        </r>
      </text>
    </comment>
    <comment ref="C106" authorId="0">
      <text>
        <r>
          <t>Only if the exercise is not in the library. Leave the library box above blank and pick a muscle group to the right.</t>
        </r>
      </text>
    </comment>
    <comment ref="E106" authorId="0">
      <text>
        <r>
          <t>Muscle group — required for a custom exercise.</t>
        </r>
      </text>
    </comment>
    <comment ref="C107" authorId="0">
      <text>
        <r>
          <t>Optional. Give exercises the same letter (A, B, …) to superset them. Paired in the order listed (A1, A2, …).</t>
        </r>
      </text>
    </comment>
    <comment ref="E107" authorId="0">
      <text>
        <r>
          <t>Optional cues for the client: tempo, rest, form.</t>
        </r>
      </text>
    </comment>
    <comment ref="C108" authorId="0">
      <text>
        <r>
          <t>Blank = Regular (or Super Set when a superset letter is set).</t>
        </r>
      </text>
    </comment>
    <comment ref="D108" authorId="0">
      <text>
        <r>
          <t>Optional goal weight. Blank = bodyweight / client chooses.</t>
        </r>
      </text>
    </comment>
    <comment ref="E108" authorId="0">
      <text>
        <r>
          <t>Goal reps for this set. A set row counts once Goal Reps is filled in.</t>
        </r>
      </text>
    </comment>
    <comment ref="F108" authorId="0">
      <text>
        <r>
          <t>Optional, e.g. 8-12.</t>
        </r>
      </text>
    </comment>
    <comment ref="C118" authorId="0">
      <text>
        <r>
          <t>Optional. A section title shown above this exercise in the app, e.g. "Warm-Up" or "Finisher". Leave blank if this exercise continues the section above.</t>
        </r>
      </text>
    </comment>
    <comment ref="E118" authorId="0">
      <text>
        <r>
          <t>Optional notes for the section.</t>
        </r>
      </text>
    </comment>
    <comment ref="C120" authorId="0">
      <text>
        <r>
          <t>Only if the exercise is not in the library. Leave the library box above blank and pick a muscle group to the right.</t>
        </r>
      </text>
    </comment>
    <comment ref="E120" authorId="0">
      <text>
        <r>
          <t>Muscle group — required for a custom exercise.</t>
        </r>
      </text>
    </comment>
    <comment ref="C121" authorId="0">
      <text>
        <r>
          <t>Optional. Give exercises the same letter (A, B, …) to superset them. Paired in the order listed (A1, A2, …).</t>
        </r>
      </text>
    </comment>
    <comment ref="E121" authorId="0">
      <text>
        <r>
          <t>Optional cues for the client: tempo, rest, form.</t>
        </r>
      </text>
    </comment>
    <comment ref="C122" authorId="0">
      <text>
        <r>
          <t>Blank = Regular (or Super Set when a superset letter is set).</t>
        </r>
      </text>
    </comment>
    <comment ref="D122" authorId="0">
      <text>
        <r>
          <t>Optional goal weight. Blank = bodyweight / client chooses.</t>
        </r>
      </text>
    </comment>
    <comment ref="E122" authorId="0">
      <text>
        <r>
          <t>Goal reps for this set. A set row counts once Goal Reps is filled in.</t>
        </r>
      </text>
    </comment>
    <comment ref="F122" authorId="0">
      <text>
        <r>
          <t>Optional, e.g. 8-12.</t>
        </r>
      </text>
    </comment>
    <comment ref="C132" authorId="0">
      <text>
        <r>
          <t>Optional. A section title shown above this exercise in the app, e.g. "Warm-Up" or "Finisher". Leave blank if this exercise continues the section above.</t>
        </r>
      </text>
    </comment>
    <comment ref="E132" authorId="0">
      <text>
        <r>
          <t>Optional notes for the section.</t>
        </r>
      </text>
    </comment>
    <comment ref="C134" authorId="0">
      <text>
        <r>
          <t>Only if the exercise is not in the library. Leave the library box above blank and pick a muscle group to the right.</t>
        </r>
      </text>
    </comment>
    <comment ref="E134" authorId="0">
      <text>
        <r>
          <t>Muscle group — required for a custom exercise.</t>
        </r>
      </text>
    </comment>
    <comment ref="C135" authorId="0">
      <text>
        <r>
          <t>Optional. Give exercises the same letter (A, B, …) to superset them. Paired in the order listed (A1, A2, …).</t>
        </r>
      </text>
    </comment>
    <comment ref="E135" authorId="0">
      <text>
        <r>
          <t>Optional cues for the client: tempo, rest, form.</t>
        </r>
      </text>
    </comment>
    <comment ref="C136" authorId="0">
      <text>
        <r>
          <t>Blank = Regular (or Super Set when a superset letter is set).</t>
        </r>
      </text>
    </comment>
    <comment ref="D136" authorId="0">
      <text>
        <r>
          <t>Optional goal weight. Blank = bodyweight / client chooses.</t>
        </r>
      </text>
    </comment>
    <comment ref="E136" authorId="0">
      <text>
        <r>
          <t>Goal reps for this set. A set row counts once Goal Reps is filled in.</t>
        </r>
      </text>
    </comment>
    <comment ref="F136" authorId="0">
      <text>
        <r>
          <t>Optional, e.g. 8-12.</t>
        </r>
      </text>
    </comment>
    <comment ref="C146" authorId="0">
      <text>
        <r>
          <t>Optional. A section title shown above this exercise in the app, e.g. "Warm-Up" or "Finisher". Leave blank if this exercise continues the section above.</t>
        </r>
      </text>
    </comment>
    <comment ref="E146" authorId="0">
      <text>
        <r>
          <t>Optional notes for the section.</t>
        </r>
      </text>
    </comment>
    <comment ref="C148" authorId="0">
      <text>
        <r>
          <t>Only if the exercise is not in the library. Leave the library box above blank and pick a muscle group to the right.</t>
        </r>
      </text>
    </comment>
    <comment ref="E148" authorId="0">
      <text>
        <r>
          <t>Muscle group — required for a custom exercise.</t>
        </r>
      </text>
    </comment>
    <comment ref="C149" authorId="0">
      <text>
        <r>
          <t>Optional. Give exercises the same letter (A, B, …) to superset them. Paired in the order listed (A1, A2, …).</t>
        </r>
      </text>
    </comment>
    <comment ref="E149" authorId="0">
      <text>
        <r>
          <t>Optional cues for the client: tempo, rest, form.</t>
        </r>
      </text>
    </comment>
    <comment ref="C150" authorId="0">
      <text>
        <r>
          <t>Blank = Regular (or Super Set when a superset letter is set).</t>
        </r>
      </text>
    </comment>
    <comment ref="D150" authorId="0">
      <text>
        <r>
          <t>Optional goal weight. Blank = bodyweight / client chooses.</t>
        </r>
      </text>
    </comment>
    <comment ref="E150" authorId="0">
      <text>
        <r>
          <t>Goal reps for this set. A set row counts once Goal Reps is filled in.</t>
        </r>
      </text>
    </comment>
    <comment ref="F150" authorId="0">
      <text>
        <r>
          <t>Optional, e.g. 8-12.</t>
        </r>
      </text>
    </comment>
    <comment ref="C160" authorId="0">
      <text>
        <r>
          <t>Optional. A section title shown above this exercise in the app, e.g. "Warm-Up" or "Finisher". Leave blank if this exercise continues the section above.</t>
        </r>
      </text>
    </comment>
    <comment ref="E160" authorId="0">
      <text>
        <r>
          <t>Optional notes for the section.</t>
        </r>
      </text>
    </comment>
    <comment ref="C162" authorId="0">
      <text>
        <r>
          <t>Only if the exercise is not in the library. Leave the library box above blank and pick a muscle group to the right.</t>
        </r>
      </text>
    </comment>
    <comment ref="E162" authorId="0">
      <text>
        <r>
          <t>Muscle group — required for a custom exercise.</t>
        </r>
      </text>
    </comment>
    <comment ref="C163" authorId="0">
      <text>
        <r>
          <t>Optional. Give exercises the same letter (A, B, …) to superset them. Paired in the order listed (A1, A2, …).</t>
        </r>
      </text>
    </comment>
    <comment ref="E163" authorId="0">
      <text>
        <r>
          <t>Optional cues for the client: tempo, rest, form.</t>
        </r>
      </text>
    </comment>
    <comment ref="C164" authorId="0">
      <text>
        <r>
          <t>Blank = Regular (or Super Set when a superset letter is set).</t>
        </r>
      </text>
    </comment>
    <comment ref="D164" authorId="0">
      <text>
        <r>
          <t>Optional goal weight. Blank = bodyweight / client chooses.</t>
        </r>
      </text>
    </comment>
    <comment ref="E164" authorId="0">
      <text>
        <r>
          <t>Goal reps for this set. A set row counts once Goal Reps is filled in.</t>
        </r>
      </text>
    </comment>
    <comment ref="F164" authorId="0">
      <text>
        <r>
          <t>Optional, e.g. 8-12.</t>
        </r>
      </text>
    </comment>
    <comment ref="C174" authorId="0">
      <text>
        <r>
          <t>Optional. A section title shown above this exercise in the app, e.g. "Warm-Up" or "Finisher". Leave blank if this exercise continues the section above.</t>
        </r>
      </text>
    </comment>
    <comment ref="E174" authorId="0">
      <text>
        <r>
          <t>Optional notes for the section.</t>
        </r>
      </text>
    </comment>
    <comment ref="C176" authorId="0">
      <text>
        <r>
          <t>Only if the exercise is not in the library. Leave the library box above blank and pick a muscle group to the right.</t>
        </r>
      </text>
    </comment>
    <comment ref="E176" authorId="0">
      <text>
        <r>
          <t>Muscle group — required for a custom exercise.</t>
        </r>
      </text>
    </comment>
    <comment ref="C177" authorId="0">
      <text>
        <r>
          <t>Optional. Give exercises the same letter (A, B, …) to superset them. Paired in the order listed (A1, A2, …).</t>
        </r>
      </text>
    </comment>
    <comment ref="E177" authorId="0">
      <text>
        <r>
          <t>Optional cues for the client: tempo, rest, form.</t>
        </r>
      </text>
    </comment>
    <comment ref="C178" authorId="0">
      <text>
        <r>
          <t>Blank = Regular (or Super Set when a superset letter is set).</t>
        </r>
      </text>
    </comment>
    <comment ref="D178" authorId="0">
      <text>
        <r>
          <t>Optional goal weight. Blank = bodyweight / client chooses.</t>
        </r>
      </text>
    </comment>
    <comment ref="E178" authorId="0">
      <text>
        <r>
          <t>Goal reps for this set. A set row counts once Goal Reps is filled in.</t>
        </r>
      </text>
    </comment>
    <comment ref="F178" authorId="0">
      <text>
        <r>
          <t>Optional, e.g. 8-12.</t>
        </r>
      </text>
    </comment>
    <comment ref="C188" authorId="0">
      <text>
        <r>
          <t>Optional. A section title shown above this exercise in the app, e.g. "Warm-Up" or "Finisher". Leave blank if this exercise continues the section above.</t>
        </r>
      </text>
    </comment>
    <comment ref="E188" authorId="0">
      <text>
        <r>
          <t>Optional notes for the section.</t>
        </r>
      </text>
    </comment>
    <comment ref="C190" authorId="0">
      <text>
        <r>
          <t>Only if the exercise is not in the library. Leave the library box above blank and pick a muscle group to the right.</t>
        </r>
      </text>
    </comment>
    <comment ref="E190" authorId="0">
      <text>
        <r>
          <t>Muscle group — required for a custom exercise.</t>
        </r>
      </text>
    </comment>
    <comment ref="C191" authorId="0">
      <text>
        <r>
          <t>Optional. Give exercises the same letter (A, B, …) to superset them. Paired in the order listed (A1, A2, …).</t>
        </r>
      </text>
    </comment>
    <comment ref="E191" authorId="0">
      <text>
        <r>
          <t>Optional cues for the client: tempo, rest, form.</t>
        </r>
      </text>
    </comment>
    <comment ref="C192" authorId="0">
      <text>
        <r>
          <t>Blank = Regular (or Super Set when a superset letter is set).</t>
        </r>
      </text>
    </comment>
    <comment ref="D192" authorId="0">
      <text>
        <r>
          <t>Optional goal weight. Blank = bodyweight / client chooses.</t>
        </r>
      </text>
    </comment>
    <comment ref="E192" authorId="0">
      <text>
        <r>
          <t>Goal reps for this set. A set row counts once Goal Reps is filled in.</t>
        </r>
      </text>
    </comment>
    <comment ref="F192" authorId="0">
      <text>
        <r>
          <t>Optional, e.g. 8-12.</t>
        </r>
      </text>
    </comment>
    <comment ref="C202" authorId="0">
      <text>
        <r>
          <t>Optional. A section title shown above this exercise in the app, e.g. "Warm-Up" or "Finisher". Leave blank if this exercise continues the section above.</t>
        </r>
      </text>
    </comment>
    <comment ref="E202" authorId="0">
      <text>
        <r>
          <t>Optional notes for the section.</t>
        </r>
      </text>
    </comment>
    <comment ref="C204" authorId="0">
      <text>
        <r>
          <t>Only if the exercise is not in the library. Leave the library box above blank and pick a muscle group to the right.</t>
        </r>
      </text>
    </comment>
    <comment ref="E204" authorId="0">
      <text>
        <r>
          <t>Muscle group — required for a custom exercise.</t>
        </r>
      </text>
    </comment>
    <comment ref="C205" authorId="0">
      <text>
        <r>
          <t>Optional. Give exercises the same letter (A, B, …) to superset them. Paired in the order listed (A1, A2, …).</t>
        </r>
      </text>
    </comment>
    <comment ref="E205" authorId="0">
      <text>
        <r>
          <t>Optional cues for the client: tempo, rest, form.</t>
        </r>
      </text>
    </comment>
    <comment ref="C206" authorId="0">
      <text>
        <r>
          <t>Blank = Regular (or Super Set when a superset letter is set).</t>
        </r>
      </text>
    </comment>
    <comment ref="D206" authorId="0">
      <text>
        <r>
          <t>Optional goal weight. Blank = bodyweight / client chooses.</t>
        </r>
      </text>
    </comment>
    <comment ref="E206" authorId="0">
      <text>
        <r>
          <t>Goal reps for this set. A set row counts once Goal Reps is filled in.</t>
        </r>
      </text>
    </comment>
    <comment ref="F206" authorId="0">
      <text>
        <r>
          <t>Optional, e.g. 8-12.</t>
        </r>
      </text>
    </comment>
  </commentList>
</comments>
</file>

<file path=xl/comments7.xml><?xml version="1.0" encoding="utf-8"?>
<comments xmlns="http://schemas.openxmlformats.org/spreadsheetml/2006/main">
  <authors>
    <author>Author</author>
  </authors>
  <commentList>
    <comment ref="C6" authorId="0">
      <text>
        <r>
          <t>Optional. A section title shown above this exercise in the app, e.g. "Warm-Up" or "Finisher". Leave blank if this exercise continues the section above.</t>
        </r>
      </text>
    </comment>
    <comment ref="E6" authorId="0">
      <text>
        <r>
          <t>Optional notes for the section.</t>
        </r>
      </text>
    </comment>
    <comment ref="C8" authorId="0">
      <text>
        <r>
          <t>Only if the exercise is not in the library. Leave the library box above blank and pick a muscle group to the right.</t>
        </r>
      </text>
    </comment>
    <comment ref="E8" authorId="0">
      <text>
        <r>
          <t>Muscle group — required for a custom exercise.</t>
        </r>
      </text>
    </comment>
    <comment ref="C9" authorId="0">
      <text>
        <r>
          <t>Optional. Give exercises the same letter (A, B, …) to superset them. Paired in the order listed (A1, A2, …).</t>
        </r>
      </text>
    </comment>
    <comment ref="E9" authorId="0">
      <text>
        <r>
          <t>Optional cues for the client: tempo, rest, form.</t>
        </r>
      </text>
    </comment>
    <comment ref="C10" authorId="0">
      <text>
        <r>
          <t>Blank = Regular (or Super Set when a superset letter is set).</t>
        </r>
      </text>
    </comment>
    <comment ref="D10" authorId="0">
      <text>
        <r>
          <t>Optional goal weight. Blank = bodyweight / client chooses.</t>
        </r>
      </text>
    </comment>
    <comment ref="E10" authorId="0">
      <text>
        <r>
          <t>Goal reps for this set. A set row counts once Goal Reps is filled in.</t>
        </r>
      </text>
    </comment>
    <comment ref="F10" authorId="0">
      <text>
        <r>
          <t>Optional, e.g. 8-12.</t>
        </r>
      </text>
    </comment>
    <comment ref="C20" authorId="0">
      <text>
        <r>
          <t>Optional. A section title shown above this exercise in the app, e.g. "Warm-Up" or "Finisher". Leave blank if this exercise continues the section above.</t>
        </r>
      </text>
    </comment>
    <comment ref="E20" authorId="0">
      <text>
        <r>
          <t>Optional notes for the section.</t>
        </r>
      </text>
    </comment>
    <comment ref="C22" authorId="0">
      <text>
        <r>
          <t>Only if the exercise is not in the library. Leave the library box above blank and pick a muscle group to the right.</t>
        </r>
      </text>
    </comment>
    <comment ref="E22" authorId="0">
      <text>
        <r>
          <t>Muscle group — required for a custom exercise.</t>
        </r>
      </text>
    </comment>
    <comment ref="C23" authorId="0">
      <text>
        <r>
          <t>Optional. Give exercises the same letter (A, B, …) to superset them. Paired in the order listed (A1, A2, …).</t>
        </r>
      </text>
    </comment>
    <comment ref="E23" authorId="0">
      <text>
        <r>
          <t>Optional cues for the client: tempo, rest, form.</t>
        </r>
      </text>
    </comment>
    <comment ref="C24" authorId="0">
      <text>
        <r>
          <t>Blank = Regular (or Super Set when a superset letter is set).</t>
        </r>
      </text>
    </comment>
    <comment ref="D24" authorId="0">
      <text>
        <r>
          <t>Optional goal weight. Blank = bodyweight / client chooses.</t>
        </r>
      </text>
    </comment>
    <comment ref="E24" authorId="0">
      <text>
        <r>
          <t>Goal reps for this set. A set row counts once Goal Reps is filled in.</t>
        </r>
      </text>
    </comment>
    <comment ref="F24" authorId="0">
      <text>
        <r>
          <t>Optional, e.g. 8-12.</t>
        </r>
      </text>
    </comment>
    <comment ref="C34" authorId="0">
      <text>
        <r>
          <t>Optional. A section title shown above this exercise in the app, e.g. "Warm-Up" or "Finisher". Leave blank if this exercise continues the section above.</t>
        </r>
      </text>
    </comment>
    <comment ref="E34" authorId="0">
      <text>
        <r>
          <t>Optional notes for the section.</t>
        </r>
      </text>
    </comment>
    <comment ref="C36" authorId="0">
      <text>
        <r>
          <t>Only if the exercise is not in the library. Leave the library box above blank and pick a muscle group to the right.</t>
        </r>
      </text>
    </comment>
    <comment ref="E36" authorId="0">
      <text>
        <r>
          <t>Muscle group — required for a custom exercise.</t>
        </r>
      </text>
    </comment>
    <comment ref="C37" authorId="0">
      <text>
        <r>
          <t>Optional. Give exercises the same letter (A, B, …) to superset them. Paired in the order listed (A1, A2, …).</t>
        </r>
      </text>
    </comment>
    <comment ref="E37" authorId="0">
      <text>
        <r>
          <t>Optional cues for the client: tempo, rest, form.</t>
        </r>
      </text>
    </comment>
    <comment ref="C38" authorId="0">
      <text>
        <r>
          <t>Blank = Regular (or Super Set when a superset letter is set).</t>
        </r>
      </text>
    </comment>
    <comment ref="D38" authorId="0">
      <text>
        <r>
          <t>Optional goal weight. Blank = bodyweight / client chooses.</t>
        </r>
      </text>
    </comment>
    <comment ref="E38" authorId="0">
      <text>
        <r>
          <t>Goal reps for this set. A set row counts once Goal Reps is filled in.</t>
        </r>
      </text>
    </comment>
    <comment ref="F38" authorId="0">
      <text>
        <r>
          <t>Optional, e.g. 8-12.</t>
        </r>
      </text>
    </comment>
    <comment ref="C48" authorId="0">
      <text>
        <r>
          <t>Optional. A section title shown above this exercise in the app, e.g. "Warm-Up" or "Finisher". Leave blank if this exercise continues the section above.</t>
        </r>
      </text>
    </comment>
    <comment ref="E48" authorId="0">
      <text>
        <r>
          <t>Optional notes for the section.</t>
        </r>
      </text>
    </comment>
    <comment ref="C50" authorId="0">
      <text>
        <r>
          <t>Only if the exercise is not in the library. Leave the library box above blank and pick a muscle group to the right.</t>
        </r>
      </text>
    </comment>
    <comment ref="E50" authorId="0">
      <text>
        <r>
          <t>Muscle group — required for a custom exercise.</t>
        </r>
      </text>
    </comment>
    <comment ref="C51" authorId="0">
      <text>
        <r>
          <t>Optional. Give exercises the same letter (A, B, …) to superset them. Paired in the order listed (A1, A2, …).</t>
        </r>
      </text>
    </comment>
    <comment ref="E51" authorId="0">
      <text>
        <r>
          <t>Optional cues for the client: tempo, rest, form.</t>
        </r>
      </text>
    </comment>
    <comment ref="C52" authorId="0">
      <text>
        <r>
          <t>Blank = Regular (or Super Set when a superset letter is set).</t>
        </r>
      </text>
    </comment>
    <comment ref="D52" authorId="0">
      <text>
        <r>
          <t>Optional goal weight. Blank = bodyweight / client chooses.</t>
        </r>
      </text>
    </comment>
    <comment ref="E52" authorId="0">
      <text>
        <r>
          <t>Goal reps for this set. A set row counts once Goal Reps is filled in.</t>
        </r>
      </text>
    </comment>
    <comment ref="F52" authorId="0">
      <text>
        <r>
          <t>Optional, e.g. 8-12.</t>
        </r>
      </text>
    </comment>
    <comment ref="C62" authorId="0">
      <text>
        <r>
          <t>Optional. A section title shown above this exercise in the app, e.g. "Warm-Up" or "Finisher". Leave blank if this exercise continues the section above.</t>
        </r>
      </text>
    </comment>
    <comment ref="E62" authorId="0">
      <text>
        <r>
          <t>Optional notes for the section.</t>
        </r>
      </text>
    </comment>
    <comment ref="C64" authorId="0">
      <text>
        <r>
          <t>Only if the exercise is not in the library. Leave the library box above blank and pick a muscle group to the right.</t>
        </r>
      </text>
    </comment>
    <comment ref="E64" authorId="0">
      <text>
        <r>
          <t>Muscle group — required for a custom exercise.</t>
        </r>
      </text>
    </comment>
    <comment ref="C65" authorId="0">
      <text>
        <r>
          <t>Optional. Give exercises the same letter (A, B, …) to superset them. Paired in the order listed (A1, A2, …).</t>
        </r>
      </text>
    </comment>
    <comment ref="E65" authorId="0">
      <text>
        <r>
          <t>Optional cues for the client: tempo, rest, form.</t>
        </r>
      </text>
    </comment>
    <comment ref="C66" authorId="0">
      <text>
        <r>
          <t>Blank = Regular (or Super Set when a superset letter is set).</t>
        </r>
      </text>
    </comment>
    <comment ref="D66" authorId="0">
      <text>
        <r>
          <t>Optional goal weight. Blank = bodyweight / client chooses.</t>
        </r>
      </text>
    </comment>
    <comment ref="E66" authorId="0">
      <text>
        <r>
          <t>Goal reps for this set. A set row counts once Goal Reps is filled in.</t>
        </r>
      </text>
    </comment>
    <comment ref="F66" authorId="0">
      <text>
        <r>
          <t>Optional, e.g. 8-12.</t>
        </r>
      </text>
    </comment>
    <comment ref="C76" authorId="0">
      <text>
        <r>
          <t>Optional. A section title shown above this exercise in the app, e.g. "Warm-Up" or "Finisher". Leave blank if this exercise continues the section above.</t>
        </r>
      </text>
    </comment>
    <comment ref="E76" authorId="0">
      <text>
        <r>
          <t>Optional notes for the section.</t>
        </r>
      </text>
    </comment>
    <comment ref="C78" authorId="0">
      <text>
        <r>
          <t>Only if the exercise is not in the library. Leave the library box above blank and pick a muscle group to the right.</t>
        </r>
      </text>
    </comment>
    <comment ref="E78" authorId="0">
      <text>
        <r>
          <t>Muscle group — required for a custom exercise.</t>
        </r>
      </text>
    </comment>
    <comment ref="C79" authorId="0">
      <text>
        <r>
          <t>Optional. Give exercises the same letter (A, B, …) to superset them. Paired in the order listed (A1, A2, …).</t>
        </r>
      </text>
    </comment>
    <comment ref="E79" authorId="0">
      <text>
        <r>
          <t>Optional cues for the client: tempo, rest, form.</t>
        </r>
      </text>
    </comment>
    <comment ref="C80" authorId="0">
      <text>
        <r>
          <t>Blank = Regular (or Super Set when a superset letter is set).</t>
        </r>
      </text>
    </comment>
    <comment ref="D80" authorId="0">
      <text>
        <r>
          <t>Optional goal weight. Blank = bodyweight / client chooses.</t>
        </r>
      </text>
    </comment>
    <comment ref="E80" authorId="0">
      <text>
        <r>
          <t>Goal reps for this set. A set row counts once Goal Reps is filled in.</t>
        </r>
      </text>
    </comment>
    <comment ref="F80" authorId="0">
      <text>
        <r>
          <t>Optional, e.g. 8-12.</t>
        </r>
      </text>
    </comment>
    <comment ref="C90" authorId="0">
      <text>
        <r>
          <t>Optional. A section title shown above this exercise in the app, e.g. "Warm-Up" or "Finisher". Leave blank if this exercise continues the section above.</t>
        </r>
      </text>
    </comment>
    <comment ref="E90" authorId="0">
      <text>
        <r>
          <t>Optional notes for the section.</t>
        </r>
      </text>
    </comment>
    <comment ref="C92" authorId="0">
      <text>
        <r>
          <t>Only if the exercise is not in the library. Leave the library box above blank and pick a muscle group to the right.</t>
        </r>
      </text>
    </comment>
    <comment ref="E92" authorId="0">
      <text>
        <r>
          <t>Muscle group — required for a custom exercise.</t>
        </r>
      </text>
    </comment>
    <comment ref="C93" authorId="0">
      <text>
        <r>
          <t>Optional. Give exercises the same letter (A, B, …) to superset them. Paired in the order listed (A1, A2, …).</t>
        </r>
      </text>
    </comment>
    <comment ref="E93" authorId="0">
      <text>
        <r>
          <t>Optional cues for the client: tempo, rest, form.</t>
        </r>
      </text>
    </comment>
    <comment ref="C94" authorId="0">
      <text>
        <r>
          <t>Blank = Regular (or Super Set when a superset letter is set).</t>
        </r>
      </text>
    </comment>
    <comment ref="D94" authorId="0">
      <text>
        <r>
          <t>Optional goal weight. Blank = bodyweight / client chooses.</t>
        </r>
      </text>
    </comment>
    <comment ref="E94" authorId="0">
      <text>
        <r>
          <t>Goal reps for this set. A set row counts once Goal Reps is filled in.</t>
        </r>
      </text>
    </comment>
    <comment ref="F94" authorId="0">
      <text>
        <r>
          <t>Optional, e.g. 8-12.</t>
        </r>
      </text>
    </comment>
    <comment ref="C104" authorId="0">
      <text>
        <r>
          <t>Optional. A section title shown above this exercise in the app, e.g. "Warm-Up" or "Finisher". Leave blank if this exercise continues the section above.</t>
        </r>
      </text>
    </comment>
    <comment ref="E104" authorId="0">
      <text>
        <r>
          <t>Optional notes for the section.</t>
        </r>
      </text>
    </comment>
    <comment ref="C106" authorId="0">
      <text>
        <r>
          <t>Only if the exercise is not in the library. Leave the library box above blank and pick a muscle group to the right.</t>
        </r>
      </text>
    </comment>
    <comment ref="E106" authorId="0">
      <text>
        <r>
          <t>Muscle group — required for a custom exercise.</t>
        </r>
      </text>
    </comment>
    <comment ref="C107" authorId="0">
      <text>
        <r>
          <t>Optional. Give exercises the same letter (A, B, …) to superset them. Paired in the order listed (A1, A2, …).</t>
        </r>
      </text>
    </comment>
    <comment ref="E107" authorId="0">
      <text>
        <r>
          <t>Optional cues for the client: tempo, rest, form.</t>
        </r>
      </text>
    </comment>
    <comment ref="C108" authorId="0">
      <text>
        <r>
          <t>Blank = Regular (or Super Set when a superset letter is set).</t>
        </r>
      </text>
    </comment>
    <comment ref="D108" authorId="0">
      <text>
        <r>
          <t>Optional goal weight. Blank = bodyweight / client chooses.</t>
        </r>
      </text>
    </comment>
    <comment ref="E108" authorId="0">
      <text>
        <r>
          <t>Goal reps for this set. A set row counts once Goal Reps is filled in.</t>
        </r>
      </text>
    </comment>
    <comment ref="F108" authorId="0">
      <text>
        <r>
          <t>Optional, e.g. 8-12.</t>
        </r>
      </text>
    </comment>
    <comment ref="C118" authorId="0">
      <text>
        <r>
          <t>Optional. A section title shown above this exercise in the app, e.g. "Warm-Up" or "Finisher". Leave blank if this exercise continues the section above.</t>
        </r>
      </text>
    </comment>
    <comment ref="E118" authorId="0">
      <text>
        <r>
          <t>Optional notes for the section.</t>
        </r>
      </text>
    </comment>
    <comment ref="C120" authorId="0">
      <text>
        <r>
          <t>Only if the exercise is not in the library. Leave the library box above blank and pick a muscle group to the right.</t>
        </r>
      </text>
    </comment>
    <comment ref="E120" authorId="0">
      <text>
        <r>
          <t>Muscle group — required for a custom exercise.</t>
        </r>
      </text>
    </comment>
    <comment ref="C121" authorId="0">
      <text>
        <r>
          <t>Optional. Give exercises the same letter (A, B, …) to superset them. Paired in the order listed (A1, A2, …).</t>
        </r>
      </text>
    </comment>
    <comment ref="E121" authorId="0">
      <text>
        <r>
          <t>Optional cues for the client: tempo, rest, form.</t>
        </r>
      </text>
    </comment>
    <comment ref="C122" authorId="0">
      <text>
        <r>
          <t>Blank = Regular (or Super Set when a superset letter is set).</t>
        </r>
      </text>
    </comment>
    <comment ref="D122" authorId="0">
      <text>
        <r>
          <t>Optional goal weight. Blank = bodyweight / client chooses.</t>
        </r>
      </text>
    </comment>
    <comment ref="E122" authorId="0">
      <text>
        <r>
          <t>Goal reps for this set. A set row counts once Goal Reps is filled in.</t>
        </r>
      </text>
    </comment>
    <comment ref="F122" authorId="0">
      <text>
        <r>
          <t>Optional, e.g. 8-12.</t>
        </r>
      </text>
    </comment>
    <comment ref="C132" authorId="0">
      <text>
        <r>
          <t>Optional. A section title shown above this exercise in the app, e.g. "Warm-Up" or "Finisher". Leave blank if this exercise continues the section above.</t>
        </r>
      </text>
    </comment>
    <comment ref="E132" authorId="0">
      <text>
        <r>
          <t>Optional notes for the section.</t>
        </r>
      </text>
    </comment>
    <comment ref="C134" authorId="0">
      <text>
        <r>
          <t>Only if the exercise is not in the library. Leave the library box above blank and pick a muscle group to the right.</t>
        </r>
      </text>
    </comment>
    <comment ref="E134" authorId="0">
      <text>
        <r>
          <t>Muscle group — required for a custom exercise.</t>
        </r>
      </text>
    </comment>
    <comment ref="C135" authorId="0">
      <text>
        <r>
          <t>Optional. Give exercises the same letter (A, B, …) to superset them. Paired in the order listed (A1, A2, …).</t>
        </r>
      </text>
    </comment>
    <comment ref="E135" authorId="0">
      <text>
        <r>
          <t>Optional cues for the client: tempo, rest, form.</t>
        </r>
      </text>
    </comment>
    <comment ref="C136" authorId="0">
      <text>
        <r>
          <t>Blank = Regular (or Super Set when a superset letter is set).</t>
        </r>
      </text>
    </comment>
    <comment ref="D136" authorId="0">
      <text>
        <r>
          <t>Optional goal weight. Blank = bodyweight / client chooses.</t>
        </r>
      </text>
    </comment>
    <comment ref="E136" authorId="0">
      <text>
        <r>
          <t>Goal reps for this set. A set row counts once Goal Reps is filled in.</t>
        </r>
      </text>
    </comment>
    <comment ref="F136" authorId="0">
      <text>
        <r>
          <t>Optional, e.g. 8-12.</t>
        </r>
      </text>
    </comment>
    <comment ref="C146" authorId="0">
      <text>
        <r>
          <t>Optional. A section title shown above this exercise in the app, e.g. "Warm-Up" or "Finisher". Leave blank if this exercise continues the section above.</t>
        </r>
      </text>
    </comment>
    <comment ref="E146" authorId="0">
      <text>
        <r>
          <t>Optional notes for the section.</t>
        </r>
      </text>
    </comment>
    <comment ref="C148" authorId="0">
      <text>
        <r>
          <t>Only if the exercise is not in the library. Leave the library box above blank and pick a muscle group to the right.</t>
        </r>
      </text>
    </comment>
    <comment ref="E148" authorId="0">
      <text>
        <r>
          <t>Muscle group — required for a custom exercise.</t>
        </r>
      </text>
    </comment>
    <comment ref="C149" authorId="0">
      <text>
        <r>
          <t>Optional. Give exercises the same letter (A, B, …) to superset them. Paired in the order listed (A1, A2, …).</t>
        </r>
      </text>
    </comment>
    <comment ref="E149" authorId="0">
      <text>
        <r>
          <t>Optional cues for the client: tempo, rest, form.</t>
        </r>
      </text>
    </comment>
    <comment ref="C150" authorId="0">
      <text>
        <r>
          <t>Blank = Regular (or Super Set when a superset letter is set).</t>
        </r>
      </text>
    </comment>
    <comment ref="D150" authorId="0">
      <text>
        <r>
          <t>Optional goal weight. Blank = bodyweight / client chooses.</t>
        </r>
      </text>
    </comment>
    <comment ref="E150" authorId="0">
      <text>
        <r>
          <t>Goal reps for this set. A set row counts once Goal Reps is filled in.</t>
        </r>
      </text>
    </comment>
    <comment ref="F150" authorId="0">
      <text>
        <r>
          <t>Optional, e.g. 8-12.</t>
        </r>
      </text>
    </comment>
    <comment ref="C160" authorId="0">
      <text>
        <r>
          <t>Optional. A section title shown above this exercise in the app, e.g. "Warm-Up" or "Finisher". Leave blank if this exercise continues the section above.</t>
        </r>
      </text>
    </comment>
    <comment ref="E160" authorId="0">
      <text>
        <r>
          <t>Optional notes for the section.</t>
        </r>
      </text>
    </comment>
    <comment ref="C162" authorId="0">
      <text>
        <r>
          <t>Only if the exercise is not in the library. Leave the library box above blank and pick a muscle group to the right.</t>
        </r>
      </text>
    </comment>
    <comment ref="E162" authorId="0">
      <text>
        <r>
          <t>Muscle group — required for a custom exercise.</t>
        </r>
      </text>
    </comment>
    <comment ref="C163" authorId="0">
      <text>
        <r>
          <t>Optional. Give exercises the same letter (A, B, …) to superset them. Paired in the order listed (A1, A2, …).</t>
        </r>
      </text>
    </comment>
    <comment ref="E163" authorId="0">
      <text>
        <r>
          <t>Optional cues for the client: tempo, rest, form.</t>
        </r>
      </text>
    </comment>
    <comment ref="C164" authorId="0">
      <text>
        <r>
          <t>Blank = Regular (or Super Set when a superset letter is set).</t>
        </r>
      </text>
    </comment>
    <comment ref="D164" authorId="0">
      <text>
        <r>
          <t>Optional goal weight. Blank = bodyweight / client chooses.</t>
        </r>
      </text>
    </comment>
    <comment ref="E164" authorId="0">
      <text>
        <r>
          <t>Goal reps for this set. A set row counts once Goal Reps is filled in.</t>
        </r>
      </text>
    </comment>
    <comment ref="F164" authorId="0">
      <text>
        <r>
          <t>Optional, e.g. 8-12.</t>
        </r>
      </text>
    </comment>
    <comment ref="C174" authorId="0">
      <text>
        <r>
          <t>Optional. A section title shown above this exercise in the app, e.g. "Warm-Up" or "Finisher". Leave blank if this exercise continues the section above.</t>
        </r>
      </text>
    </comment>
    <comment ref="E174" authorId="0">
      <text>
        <r>
          <t>Optional notes for the section.</t>
        </r>
      </text>
    </comment>
    <comment ref="C176" authorId="0">
      <text>
        <r>
          <t>Only if the exercise is not in the library. Leave the library box above blank and pick a muscle group to the right.</t>
        </r>
      </text>
    </comment>
    <comment ref="E176" authorId="0">
      <text>
        <r>
          <t>Muscle group — required for a custom exercise.</t>
        </r>
      </text>
    </comment>
    <comment ref="C177" authorId="0">
      <text>
        <r>
          <t>Optional. Give exercises the same letter (A, B, …) to superset them. Paired in the order listed (A1, A2, …).</t>
        </r>
      </text>
    </comment>
    <comment ref="E177" authorId="0">
      <text>
        <r>
          <t>Optional cues for the client: tempo, rest, form.</t>
        </r>
      </text>
    </comment>
    <comment ref="C178" authorId="0">
      <text>
        <r>
          <t>Blank = Regular (or Super Set when a superset letter is set).</t>
        </r>
      </text>
    </comment>
    <comment ref="D178" authorId="0">
      <text>
        <r>
          <t>Optional goal weight. Blank = bodyweight / client chooses.</t>
        </r>
      </text>
    </comment>
    <comment ref="E178" authorId="0">
      <text>
        <r>
          <t>Goal reps for this set. A set row counts once Goal Reps is filled in.</t>
        </r>
      </text>
    </comment>
    <comment ref="F178" authorId="0">
      <text>
        <r>
          <t>Optional, e.g. 8-12.</t>
        </r>
      </text>
    </comment>
    <comment ref="C188" authorId="0">
      <text>
        <r>
          <t>Optional. A section title shown above this exercise in the app, e.g. "Warm-Up" or "Finisher". Leave blank if this exercise continues the section above.</t>
        </r>
      </text>
    </comment>
    <comment ref="E188" authorId="0">
      <text>
        <r>
          <t>Optional notes for the section.</t>
        </r>
      </text>
    </comment>
    <comment ref="C190" authorId="0">
      <text>
        <r>
          <t>Only if the exercise is not in the library. Leave the library box above blank and pick a muscle group to the right.</t>
        </r>
      </text>
    </comment>
    <comment ref="E190" authorId="0">
      <text>
        <r>
          <t>Muscle group — required for a custom exercise.</t>
        </r>
      </text>
    </comment>
    <comment ref="C191" authorId="0">
      <text>
        <r>
          <t>Optional. Give exercises the same letter (A, B, …) to superset them. Paired in the order listed (A1, A2, …).</t>
        </r>
      </text>
    </comment>
    <comment ref="E191" authorId="0">
      <text>
        <r>
          <t>Optional cues for the client: tempo, rest, form.</t>
        </r>
      </text>
    </comment>
    <comment ref="C192" authorId="0">
      <text>
        <r>
          <t>Blank = Regular (or Super Set when a superset letter is set).</t>
        </r>
      </text>
    </comment>
    <comment ref="D192" authorId="0">
      <text>
        <r>
          <t>Optional goal weight. Blank = bodyweight / client chooses.</t>
        </r>
      </text>
    </comment>
    <comment ref="E192" authorId="0">
      <text>
        <r>
          <t>Goal reps for this set. A set row counts once Goal Reps is filled in.</t>
        </r>
      </text>
    </comment>
    <comment ref="F192" authorId="0">
      <text>
        <r>
          <t>Optional, e.g. 8-12.</t>
        </r>
      </text>
    </comment>
    <comment ref="C202" authorId="0">
      <text>
        <r>
          <t>Optional. A section title shown above this exercise in the app, e.g. "Warm-Up" or "Finisher". Leave blank if this exercise continues the section above.</t>
        </r>
      </text>
    </comment>
    <comment ref="E202" authorId="0">
      <text>
        <r>
          <t>Optional notes for the section.</t>
        </r>
      </text>
    </comment>
    <comment ref="C204" authorId="0">
      <text>
        <r>
          <t>Only if the exercise is not in the library. Leave the library box above blank and pick a muscle group to the right.</t>
        </r>
      </text>
    </comment>
    <comment ref="E204" authorId="0">
      <text>
        <r>
          <t>Muscle group — required for a custom exercise.</t>
        </r>
      </text>
    </comment>
    <comment ref="C205" authorId="0">
      <text>
        <r>
          <t>Optional. Give exercises the same letter (A, B, …) to superset them. Paired in the order listed (A1, A2, …).</t>
        </r>
      </text>
    </comment>
    <comment ref="E205" authorId="0">
      <text>
        <r>
          <t>Optional cues for the client: tempo, rest, form.</t>
        </r>
      </text>
    </comment>
    <comment ref="C206" authorId="0">
      <text>
        <r>
          <t>Blank = Regular (or Super Set when a superset letter is set).</t>
        </r>
      </text>
    </comment>
    <comment ref="D206" authorId="0">
      <text>
        <r>
          <t>Optional goal weight. Blank = bodyweight / client chooses.</t>
        </r>
      </text>
    </comment>
    <comment ref="E206" authorId="0">
      <text>
        <r>
          <t>Goal reps for this set. A set row counts once Goal Reps is filled in.</t>
        </r>
      </text>
    </comment>
    <comment ref="F206" authorId="0">
      <text>
        <r>
          <t>Optional, e.g. 8-12.</t>
        </r>
      </text>
    </comment>
  </commentList>
</comments>
</file>

<file path=xl/comments8.xml><?xml version="1.0" encoding="utf-8"?>
<comments xmlns="http://schemas.openxmlformats.org/spreadsheetml/2006/main">
  <authors>
    <author>Author</author>
  </authors>
  <commentList>
    <comment ref="C6" authorId="0">
      <text>
        <r>
          <t>Optional. A section title shown above this exercise in the app, e.g. "Warm-Up" or "Finisher". Leave blank if this exercise continues the section above.</t>
        </r>
      </text>
    </comment>
    <comment ref="E6" authorId="0">
      <text>
        <r>
          <t>Optional notes for the section.</t>
        </r>
      </text>
    </comment>
    <comment ref="C8" authorId="0">
      <text>
        <r>
          <t>Only if the exercise is not in the library. Leave the library box above blank and pick a muscle group to the right.</t>
        </r>
      </text>
    </comment>
    <comment ref="E8" authorId="0">
      <text>
        <r>
          <t>Muscle group — required for a custom exercise.</t>
        </r>
      </text>
    </comment>
    <comment ref="C9" authorId="0">
      <text>
        <r>
          <t>Optional. Give exercises the same letter (A, B, …) to superset them. Paired in the order listed (A1, A2, …).</t>
        </r>
      </text>
    </comment>
    <comment ref="E9" authorId="0">
      <text>
        <r>
          <t>Optional cues for the client: tempo, rest, form.</t>
        </r>
      </text>
    </comment>
    <comment ref="C10" authorId="0">
      <text>
        <r>
          <t>Blank = Regular (or Super Set when a superset letter is set).</t>
        </r>
      </text>
    </comment>
    <comment ref="D10" authorId="0">
      <text>
        <r>
          <t>Optional goal weight. Blank = bodyweight / client chooses.</t>
        </r>
      </text>
    </comment>
    <comment ref="E10" authorId="0">
      <text>
        <r>
          <t>Goal reps for this set. A set row counts once Goal Reps is filled in.</t>
        </r>
      </text>
    </comment>
    <comment ref="F10" authorId="0">
      <text>
        <r>
          <t>Optional, e.g. 8-12.</t>
        </r>
      </text>
    </comment>
    <comment ref="C20" authorId="0">
      <text>
        <r>
          <t>Optional. A section title shown above this exercise in the app, e.g. "Warm-Up" or "Finisher". Leave blank if this exercise continues the section above.</t>
        </r>
      </text>
    </comment>
    <comment ref="E20" authorId="0">
      <text>
        <r>
          <t>Optional notes for the section.</t>
        </r>
      </text>
    </comment>
    <comment ref="C22" authorId="0">
      <text>
        <r>
          <t>Only if the exercise is not in the library. Leave the library box above blank and pick a muscle group to the right.</t>
        </r>
      </text>
    </comment>
    <comment ref="E22" authorId="0">
      <text>
        <r>
          <t>Muscle group — required for a custom exercise.</t>
        </r>
      </text>
    </comment>
    <comment ref="C23" authorId="0">
      <text>
        <r>
          <t>Optional. Give exercises the same letter (A, B, …) to superset them. Paired in the order listed (A1, A2, …).</t>
        </r>
      </text>
    </comment>
    <comment ref="E23" authorId="0">
      <text>
        <r>
          <t>Optional cues for the client: tempo, rest, form.</t>
        </r>
      </text>
    </comment>
    <comment ref="C24" authorId="0">
      <text>
        <r>
          <t>Blank = Regular (or Super Set when a superset letter is set).</t>
        </r>
      </text>
    </comment>
    <comment ref="D24" authorId="0">
      <text>
        <r>
          <t>Optional goal weight. Blank = bodyweight / client chooses.</t>
        </r>
      </text>
    </comment>
    <comment ref="E24" authorId="0">
      <text>
        <r>
          <t>Goal reps for this set. A set row counts once Goal Reps is filled in.</t>
        </r>
      </text>
    </comment>
    <comment ref="F24" authorId="0">
      <text>
        <r>
          <t>Optional, e.g. 8-12.</t>
        </r>
      </text>
    </comment>
    <comment ref="C34" authorId="0">
      <text>
        <r>
          <t>Optional. A section title shown above this exercise in the app, e.g. "Warm-Up" or "Finisher". Leave blank if this exercise continues the section above.</t>
        </r>
      </text>
    </comment>
    <comment ref="E34" authorId="0">
      <text>
        <r>
          <t>Optional notes for the section.</t>
        </r>
      </text>
    </comment>
    <comment ref="C36" authorId="0">
      <text>
        <r>
          <t>Only if the exercise is not in the library. Leave the library box above blank and pick a muscle group to the right.</t>
        </r>
      </text>
    </comment>
    <comment ref="E36" authorId="0">
      <text>
        <r>
          <t>Muscle group — required for a custom exercise.</t>
        </r>
      </text>
    </comment>
    <comment ref="C37" authorId="0">
      <text>
        <r>
          <t>Optional. Give exercises the same letter (A, B, …) to superset them. Paired in the order listed (A1, A2, …).</t>
        </r>
      </text>
    </comment>
    <comment ref="E37" authorId="0">
      <text>
        <r>
          <t>Optional cues for the client: tempo, rest, form.</t>
        </r>
      </text>
    </comment>
    <comment ref="C38" authorId="0">
      <text>
        <r>
          <t>Blank = Regular (or Super Set when a superset letter is set).</t>
        </r>
      </text>
    </comment>
    <comment ref="D38" authorId="0">
      <text>
        <r>
          <t>Optional goal weight. Blank = bodyweight / client chooses.</t>
        </r>
      </text>
    </comment>
    <comment ref="E38" authorId="0">
      <text>
        <r>
          <t>Goal reps for this set. A set row counts once Goal Reps is filled in.</t>
        </r>
      </text>
    </comment>
    <comment ref="F38" authorId="0">
      <text>
        <r>
          <t>Optional, e.g. 8-12.</t>
        </r>
      </text>
    </comment>
    <comment ref="C48" authorId="0">
      <text>
        <r>
          <t>Optional. A section title shown above this exercise in the app, e.g. "Warm-Up" or "Finisher". Leave blank if this exercise continues the section above.</t>
        </r>
      </text>
    </comment>
    <comment ref="E48" authorId="0">
      <text>
        <r>
          <t>Optional notes for the section.</t>
        </r>
      </text>
    </comment>
    <comment ref="C50" authorId="0">
      <text>
        <r>
          <t>Only if the exercise is not in the library. Leave the library box above blank and pick a muscle group to the right.</t>
        </r>
      </text>
    </comment>
    <comment ref="E50" authorId="0">
      <text>
        <r>
          <t>Muscle group — required for a custom exercise.</t>
        </r>
      </text>
    </comment>
    <comment ref="C51" authorId="0">
      <text>
        <r>
          <t>Optional. Give exercises the same letter (A, B, …) to superset them. Paired in the order listed (A1, A2, …).</t>
        </r>
      </text>
    </comment>
    <comment ref="E51" authorId="0">
      <text>
        <r>
          <t>Optional cues for the client: tempo, rest, form.</t>
        </r>
      </text>
    </comment>
    <comment ref="C52" authorId="0">
      <text>
        <r>
          <t>Blank = Regular (or Super Set when a superset letter is set).</t>
        </r>
      </text>
    </comment>
    <comment ref="D52" authorId="0">
      <text>
        <r>
          <t>Optional goal weight. Blank = bodyweight / client chooses.</t>
        </r>
      </text>
    </comment>
    <comment ref="E52" authorId="0">
      <text>
        <r>
          <t>Goal reps for this set. A set row counts once Goal Reps is filled in.</t>
        </r>
      </text>
    </comment>
    <comment ref="F52" authorId="0">
      <text>
        <r>
          <t>Optional, e.g. 8-12.</t>
        </r>
      </text>
    </comment>
    <comment ref="C62" authorId="0">
      <text>
        <r>
          <t>Optional. A section title shown above this exercise in the app, e.g. "Warm-Up" or "Finisher". Leave blank if this exercise continues the section above.</t>
        </r>
      </text>
    </comment>
    <comment ref="E62" authorId="0">
      <text>
        <r>
          <t>Optional notes for the section.</t>
        </r>
      </text>
    </comment>
    <comment ref="C64" authorId="0">
      <text>
        <r>
          <t>Only if the exercise is not in the library. Leave the library box above blank and pick a muscle group to the right.</t>
        </r>
      </text>
    </comment>
    <comment ref="E64" authorId="0">
      <text>
        <r>
          <t>Muscle group — required for a custom exercise.</t>
        </r>
      </text>
    </comment>
    <comment ref="C65" authorId="0">
      <text>
        <r>
          <t>Optional. Give exercises the same letter (A, B, …) to superset them. Paired in the order listed (A1, A2, …).</t>
        </r>
      </text>
    </comment>
    <comment ref="E65" authorId="0">
      <text>
        <r>
          <t>Optional cues for the client: tempo, rest, form.</t>
        </r>
      </text>
    </comment>
    <comment ref="C66" authorId="0">
      <text>
        <r>
          <t>Blank = Regular (or Super Set when a superset letter is set).</t>
        </r>
      </text>
    </comment>
    <comment ref="D66" authorId="0">
      <text>
        <r>
          <t>Optional goal weight. Blank = bodyweight / client chooses.</t>
        </r>
      </text>
    </comment>
    <comment ref="E66" authorId="0">
      <text>
        <r>
          <t>Goal reps for this set. A set row counts once Goal Reps is filled in.</t>
        </r>
      </text>
    </comment>
    <comment ref="F66" authorId="0">
      <text>
        <r>
          <t>Optional, e.g. 8-12.</t>
        </r>
      </text>
    </comment>
    <comment ref="C76" authorId="0">
      <text>
        <r>
          <t>Optional. A section title shown above this exercise in the app, e.g. "Warm-Up" or "Finisher". Leave blank if this exercise continues the section above.</t>
        </r>
      </text>
    </comment>
    <comment ref="E76" authorId="0">
      <text>
        <r>
          <t>Optional notes for the section.</t>
        </r>
      </text>
    </comment>
    <comment ref="C78" authorId="0">
      <text>
        <r>
          <t>Only if the exercise is not in the library. Leave the library box above blank and pick a muscle group to the right.</t>
        </r>
      </text>
    </comment>
    <comment ref="E78" authorId="0">
      <text>
        <r>
          <t>Muscle group — required for a custom exercise.</t>
        </r>
      </text>
    </comment>
    <comment ref="C79" authorId="0">
      <text>
        <r>
          <t>Optional. Give exercises the same letter (A, B, …) to superset them. Paired in the order listed (A1, A2, …).</t>
        </r>
      </text>
    </comment>
    <comment ref="E79" authorId="0">
      <text>
        <r>
          <t>Optional cues for the client: tempo, rest, form.</t>
        </r>
      </text>
    </comment>
    <comment ref="C80" authorId="0">
      <text>
        <r>
          <t>Blank = Regular (or Super Set when a superset letter is set).</t>
        </r>
      </text>
    </comment>
    <comment ref="D80" authorId="0">
      <text>
        <r>
          <t>Optional goal weight. Blank = bodyweight / client chooses.</t>
        </r>
      </text>
    </comment>
    <comment ref="E80" authorId="0">
      <text>
        <r>
          <t>Goal reps for this set. A set row counts once Goal Reps is filled in.</t>
        </r>
      </text>
    </comment>
    <comment ref="F80" authorId="0">
      <text>
        <r>
          <t>Optional, e.g. 8-12.</t>
        </r>
      </text>
    </comment>
    <comment ref="C90" authorId="0">
      <text>
        <r>
          <t>Optional. A section title shown above this exercise in the app, e.g. "Warm-Up" or "Finisher". Leave blank if this exercise continues the section above.</t>
        </r>
      </text>
    </comment>
    <comment ref="E90" authorId="0">
      <text>
        <r>
          <t>Optional notes for the section.</t>
        </r>
      </text>
    </comment>
    <comment ref="C92" authorId="0">
      <text>
        <r>
          <t>Only if the exercise is not in the library. Leave the library box above blank and pick a muscle group to the right.</t>
        </r>
      </text>
    </comment>
    <comment ref="E92" authorId="0">
      <text>
        <r>
          <t>Muscle group — required for a custom exercise.</t>
        </r>
      </text>
    </comment>
    <comment ref="C93" authorId="0">
      <text>
        <r>
          <t>Optional. Give exercises the same letter (A, B, …) to superset them. Paired in the order listed (A1, A2, …).</t>
        </r>
      </text>
    </comment>
    <comment ref="E93" authorId="0">
      <text>
        <r>
          <t>Optional cues for the client: tempo, rest, form.</t>
        </r>
      </text>
    </comment>
    <comment ref="C94" authorId="0">
      <text>
        <r>
          <t>Blank = Regular (or Super Set when a superset letter is set).</t>
        </r>
      </text>
    </comment>
    <comment ref="D94" authorId="0">
      <text>
        <r>
          <t>Optional goal weight. Blank = bodyweight / client chooses.</t>
        </r>
      </text>
    </comment>
    <comment ref="E94" authorId="0">
      <text>
        <r>
          <t>Goal reps for this set. A set row counts once Goal Reps is filled in.</t>
        </r>
      </text>
    </comment>
    <comment ref="F94" authorId="0">
      <text>
        <r>
          <t>Optional, e.g. 8-12.</t>
        </r>
      </text>
    </comment>
    <comment ref="C104" authorId="0">
      <text>
        <r>
          <t>Optional. A section title shown above this exercise in the app, e.g. "Warm-Up" or "Finisher". Leave blank if this exercise continues the section above.</t>
        </r>
      </text>
    </comment>
    <comment ref="E104" authorId="0">
      <text>
        <r>
          <t>Optional notes for the section.</t>
        </r>
      </text>
    </comment>
    <comment ref="C106" authorId="0">
      <text>
        <r>
          <t>Only if the exercise is not in the library. Leave the library box above blank and pick a muscle group to the right.</t>
        </r>
      </text>
    </comment>
    <comment ref="E106" authorId="0">
      <text>
        <r>
          <t>Muscle group — required for a custom exercise.</t>
        </r>
      </text>
    </comment>
    <comment ref="C107" authorId="0">
      <text>
        <r>
          <t>Optional. Give exercises the same letter (A, B, …) to superset them. Paired in the order listed (A1, A2, …).</t>
        </r>
      </text>
    </comment>
    <comment ref="E107" authorId="0">
      <text>
        <r>
          <t>Optional cues for the client: tempo, rest, form.</t>
        </r>
      </text>
    </comment>
    <comment ref="C108" authorId="0">
      <text>
        <r>
          <t>Blank = Regular (or Super Set when a superset letter is set).</t>
        </r>
      </text>
    </comment>
    <comment ref="D108" authorId="0">
      <text>
        <r>
          <t>Optional goal weight. Blank = bodyweight / client chooses.</t>
        </r>
      </text>
    </comment>
    <comment ref="E108" authorId="0">
      <text>
        <r>
          <t>Goal reps for this set. A set row counts once Goal Reps is filled in.</t>
        </r>
      </text>
    </comment>
    <comment ref="F108" authorId="0">
      <text>
        <r>
          <t>Optional, e.g. 8-12.</t>
        </r>
      </text>
    </comment>
    <comment ref="C118" authorId="0">
      <text>
        <r>
          <t>Optional. A section title shown above this exercise in the app, e.g. "Warm-Up" or "Finisher". Leave blank if this exercise continues the section above.</t>
        </r>
      </text>
    </comment>
    <comment ref="E118" authorId="0">
      <text>
        <r>
          <t>Optional notes for the section.</t>
        </r>
      </text>
    </comment>
    <comment ref="C120" authorId="0">
      <text>
        <r>
          <t>Only if the exercise is not in the library. Leave the library box above blank and pick a muscle group to the right.</t>
        </r>
      </text>
    </comment>
    <comment ref="E120" authorId="0">
      <text>
        <r>
          <t>Muscle group — required for a custom exercise.</t>
        </r>
      </text>
    </comment>
    <comment ref="C121" authorId="0">
      <text>
        <r>
          <t>Optional. Give exercises the same letter (A, B, …) to superset them. Paired in the order listed (A1, A2, …).</t>
        </r>
      </text>
    </comment>
    <comment ref="E121" authorId="0">
      <text>
        <r>
          <t>Optional cues for the client: tempo, rest, form.</t>
        </r>
      </text>
    </comment>
    <comment ref="C122" authorId="0">
      <text>
        <r>
          <t>Blank = Regular (or Super Set when a superset letter is set).</t>
        </r>
      </text>
    </comment>
    <comment ref="D122" authorId="0">
      <text>
        <r>
          <t>Optional goal weight. Blank = bodyweight / client chooses.</t>
        </r>
      </text>
    </comment>
    <comment ref="E122" authorId="0">
      <text>
        <r>
          <t>Goal reps for this set. A set row counts once Goal Reps is filled in.</t>
        </r>
      </text>
    </comment>
    <comment ref="F122" authorId="0">
      <text>
        <r>
          <t>Optional, e.g. 8-12.</t>
        </r>
      </text>
    </comment>
    <comment ref="C132" authorId="0">
      <text>
        <r>
          <t>Optional. A section title shown above this exercise in the app, e.g. "Warm-Up" or "Finisher". Leave blank if this exercise continues the section above.</t>
        </r>
      </text>
    </comment>
    <comment ref="E132" authorId="0">
      <text>
        <r>
          <t>Optional notes for the section.</t>
        </r>
      </text>
    </comment>
    <comment ref="C134" authorId="0">
      <text>
        <r>
          <t>Only if the exercise is not in the library. Leave the library box above blank and pick a muscle group to the right.</t>
        </r>
      </text>
    </comment>
    <comment ref="E134" authorId="0">
      <text>
        <r>
          <t>Muscle group — required for a custom exercise.</t>
        </r>
      </text>
    </comment>
    <comment ref="C135" authorId="0">
      <text>
        <r>
          <t>Optional. Give exercises the same letter (A, B, …) to superset them. Paired in the order listed (A1, A2, …).</t>
        </r>
      </text>
    </comment>
    <comment ref="E135" authorId="0">
      <text>
        <r>
          <t>Optional cues for the client: tempo, rest, form.</t>
        </r>
      </text>
    </comment>
    <comment ref="C136" authorId="0">
      <text>
        <r>
          <t>Blank = Regular (or Super Set when a superset letter is set).</t>
        </r>
      </text>
    </comment>
    <comment ref="D136" authorId="0">
      <text>
        <r>
          <t>Optional goal weight. Blank = bodyweight / client chooses.</t>
        </r>
      </text>
    </comment>
    <comment ref="E136" authorId="0">
      <text>
        <r>
          <t>Goal reps for this set. A set row counts once Goal Reps is filled in.</t>
        </r>
      </text>
    </comment>
    <comment ref="F136" authorId="0">
      <text>
        <r>
          <t>Optional, e.g. 8-12.</t>
        </r>
      </text>
    </comment>
    <comment ref="C146" authorId="0">
      <text>
        <r>
          <t>Optional. A section title shown above this exercise in the app, e.g. "Warm-Up" or "Finisher". Leave blank if this exercise continues the section above.</t>
        </r>
      </text>
    </comment>
    <comment ref="E146" authorId="0">
      <text>
        <r>
          <t>Optional notes for the section.</t>
        </r>
      </text>
    </comment>
    <comment ref="C148" authorId="0">
      <text>
        <r>
          <t>Only if the exercise is not in the library. Leave the library box above blank and pick a muscle group to the right.</t>
        </r>
      </text>
    </comment>
    <comment ref="E148" authorId="0">
      <text>
        <r>
          <t>Muscle group — required for a custom exercise.</t>
        </r>
      </text>
    </comment>
    <comment ref="C149" authorId="0">
      <text>
        <r>
          <t>Optional. Give exercises the same letter (A, B, …) to superset them. Paired in the order listed (A1, A2, …).</t>
        </r>
      </text>
    </comment>
    <comment ref="E149" authorId="0">
      <text>
        <r>
          <t>Optional cues for the client: tempo, rest, form.</t>
        </r>
      </text>
    </comment>
    <comment ref="C150" authorId="0">
      <text>
        <r>
          <t>Blank = Regular (or Super Set when a superset letter is set).</t>
        </r>
      </text>
    </comment>
    <comment ref="D150" authorId="0">
      <text>
        <r>
          <t>Optional goal weight. Blank = bodyweight / client chooses.</t>
        </r>
      </text>
    </comment>
    <comment ref="E150" authorId="0">
      <text>
        <r>
          <t>Goal reps for this set. A set row counts once Goal Reps is filled in.</t>
        </r>
      </text>
    </comment>
    <comment ref="F150" authorId="0">
      <text>
        <r>
          <t>Optional, e.g. 8-12.</t>
        </r>
      </text>
    </comment>
    <comment ref="C160" authorId="0">
      <text>
        <r>
          <t>Optional. A section title shown above this exercise in the app, e.g. "Warm-Up" or "Finisher". Leave blank if this exercise continues the section above.</t>
        </r>
      </text>
    </comment>
    <comment ref="E160" authorId="0">
      <text>
        <r>
          <t>Optional notes for the section.</t>
        </r>
      </text>
    </comment>
    <comment ref="C162" authorId="0">
      <text>
        <r>
          <t>Only if the exercise is not in the library. Leave the library box above blank and pick a muscle group to the right.</t>
        </r>
      </text>
    </comment>
    <comment ref="E162" authorId="0">
      <text>
        <r>
          <t>Muscle group — required for a custom exercise.</t>
        </r>
      </text>
    </comment>
    <comment ref="C163" authorId="0">
      <text>
        <r>
          <t>Optional. Give exercises the same letter (A, B, …) to superset them. Paired in the order listed (A1, A2, …).</t>
        </r>
      </text>
    </comment>
    <comment ref="E163" authorId="0">
      <text>
        <r>
          <t>Optional cues for the client: tempo, rest, form.</t>
        </r>
      </text>
    </comment>
    <comment ref="C164" authorId="0">
      <text>
        <r>
          <t>Blank = Regular (or Super Set when a superset letter is set).</t>
        </r>
      </text>
    </comment>
    <comment ref="D164" authorId="0">
      <text>
        <r>
          <t>Optional goal weight. Blank = bodyweight / client chooses.</t>
        </r>
      </text>
    </comment>
    <comment ref="E164" authorId="0">
      <text>
        <r>
          <t>Goal reps for this set. A set row counts once Goal Reps is filled in.</t>
        </r>
      </text>
    </comment>
    <comment ref="F164" authorId="0">
      <text>
        <r>
          <t>Optional, e.g. 8-12.</t>
        </r>
      </text>
    </comment>
    <comment ref="C174" authorId="0">
      <text>
        <r>
          <t>Optional. A section title shown above this exercise in the app, e.g. "Warm-Up" or "Finisher". Leave blank if this exercise continues the section above.</t>
        </r>
      </text>
    </comment>
    <comment ref="E174" authorId="0">
      <text>
        <r>
          <t>Optional notes for the section.</t>
        </r>
      </text>
    </comment>
    <comment ref="C176" authorId="0">
      <text>
        <r>
          <t>Only if the exercise is not in the library. Leave the library box above blank and pick a muscle group to the right.</t>
        </r>
      </text>
    </comment>
    <comment ref="E176" authorId="0">
      <text>
        <r>
          <t>Muscle group — required for a custom exercise.</t>
        </r>
      </text>
    </comment>
    <comment ref="C177" authorId="0">
      <text>
        <r>
          <t>Optional. Give exercises the same letter (A, B, …) to superset them. Paired in the order listed (A1, A2, …).</t>
        </r>
      </text>
    </comment>
    <comment ref="E177" authorId="0">
      <text>
        <r>
          <t>Optional cues for the client: tempo, rest, form.</t>
        </r>
      </text>
    </comment>
    <comment ref="C178" authorId="0">
      <text>
        <r>
          <t>Blank = Regular (or Super Set when a superset letter is set).</t>
        </r>
      </text>
    </comment>
    <comment ref="D178" authorId="0">
      <text>
        <r>
          <t>Optional goal weight. Blank = bodyweight / client chooses.</t>
        </r>
      </text>
    </comment>
    <comment ref="E178" authorId="0">
      <text>
        <r>
          <t>Goal reps for this set. A set row counts once Goal Reps is filled in.</t>
        </r>
      </text>
    </comment>
    <comment ref="F178" authorId="0">
      <text>
        <r>
          <t>Optional, e.g. 8-12.</t>
        </r>
      </text>
    </comment>
    <comment ref="C188" authorId="0">
      <text>
        <r>
          <t>Optional. A section title shown above this exercise in the app, e.g. "Warm-Up" or "Finisher". Leave blank if this exercise continues the section above.</t>
        </r>
      </text>
    </comment>
    <comment ref="E188" authorId="0">
      <text>
        <r>
          <t>Optional notes for the section.</t>
        </r>
      </text>
    </comment>
    <comment ref="C190" authorId="0">
      <text>
        <r>
          <t>Only if the exercise is not in the library. Leave the library box above blank and pick a muscle group to the right.</t>
        </r>
      </text>
    </comment>
    <comment ref="E190" authorId="0">
      <text>
        <r>
          <t>Muscle group — required for a custom exercise.</t>
        </r>
      </text>
    </comment>
    <comment ref="C191" authorId="0">
      <text>
        <r>
          <t>Optional. Give exercises the same letter (A, B, …) to superset them. Paired in the order listed (A1, A2, …).</t>
        </r>
      </text>
    </comment>
    <comment ref="E191" authorId="0">
      <text>
        <r>
          <t>Optional cues for the client: tempo, rest, form.</t>
        </r>
      </text>
    </comment>
    <comment ref="C192" authorId="0">
      <text>
        <r>
          <t>Blank = Regular (or Super Set when a superset letter is set).</t>
        </r>
      </text>
    </comment>
    <comment ref="D192" authorId="0">
      <text>
        <r>
          <t>Optional goal weight. Blank = bodyweight / client chooses.</t>
        </r>
      </text>
    </comment>
    <comment ref="E192" authorId="0">
      <text>
        <r>
          <t>Goal reps for this set. A set row counts once Goal Reps is filled in.</t>
        </r>
      </text>
    </comment>
    <comment ref="F192" authorId="0">
      <text>
        <r>
          <t>Optional, e.g. 8-12.</t>
        </r>
      </text>
    </comment>
    <comment ref="C202" authorId="0">
      <text>
        <r>
          <t>Optional. A section title shown above this exercise in the app, e.g. "Warm-Up" or "Finisher". Leave blank if this exercise continues the section above.</t>
        </r>
      </text>
    </comment>
    <comment ref="E202" authorId="0">
      <text>
        <r>
          <t>Optional notes for the section.</t>
        </r>
      </text>
    </comment>
    <comment ref="C204" authorId="0">
      <text>
        <r>
          <t>Only if the exercise is not in the library. Leave the library box above blank and pick a muscle group to the right.</t>
        </r>
      </text>
    </comment>
    <comment ref="E204" authorId="0">
      <text>
        <r>
          <t>Muscle group — required for a custom exercise.</t>
        </r>
      </text>
    </comment>
    <comment ref="C205" authorId="0">
      <text>
        <r>
          <t>Optional. Give exercises the same letter (A, B, …) to superset them. Paired in the order listed (A1, A2, …).</t>
        </r>
      </text>
    </comment>
    <comment ref="E205" authorId="0">
      <text>
        <r>
          <t>Optional cues for the client: tempo, rest, form.</t>
        </r>
      </text>
    </comment>
    <comment ref="C206" authorId="0">
      <text>
        <r>
          <t>Blank = Regular (or Super Set when a superset letter is set).</t>
        </r>
      </text>
    </comment>
    <comment ref="D206" authorId="0">
      <text>
        <r>
          <t>Optional goal weight. Blank = bodyweight / client chooses.</t>
        </r>
      </text>
    </comment>
    <comment ref="E206" authorId="0">
      <text>
        <r>
          <t>Goal reps for this set. A set row counts once Goal Reps is filled in.</t>
        </r>
      </text>
    </comment>
    <comment ref="F206" authorId="0">
      <text>
        <r>
          <t>Optional, e.g. 8-12.</t>
        </r>
      </text>
    </comment>
  </commentList>
</comments>
</file>

<file path=xl/comments9.xml><?xml version="1.0" encoding="utf-8"?>
<comments xmlns="http://schemas.openxmlformats.org/spreadsheetml/2006/main">
  <authors>
    <author>Author</author>
  </authors>
  <commentList>
    <comment ref="C6" authorId="0">
      <text>
        <r>
          <t>Optional. A section title shown above this exercise in the app, e.g. "Warm-Up" or "Finisher". Leave blank if this exercise continues the section above.</t>
        </r>
      </text>
    </comment>
    <comment ref="E6" authorId="0">
      <text>
        <r>
          <t>Optional notes for the section.</t>
        </r>
      </text>
    </comment>
    <comment ref="C8" authorId="0">
      <text>
        <r>
          <t>Only if the exercise is not in the library. Leave the library box above blank and pick a muscle group to the right.</t>
        </r>
      </text>
    </comment>
    <comment ref="E8" authorId="0">
      <text>
        <r>
          <t>Muscle group — required for a custom exercise.</t>
        </r>
      </text>
    </comment>
    <comment ref="C9" authorId="0">
      <text>
        <r>
          <t>Optional. Give exercises the same letter (A, B, …) to superset them. Paired in the order listed (A1, A2, …).</t>
        </r>
      </text>
    </comment>
    <comment ref="E9" authorId="0">
      <text>
        <r>
          <t>Optional cues for the client: tempo, rest, form.</t>
        </r>
      </text>
    </comment>
    <comment ref="C10" authorId="0">
      <text>
        <r>
          <t>Blank = Regular (or Super Set when a superset letter is set).</t>
        </r>
      </text>
    </comment>
    <comment ref="D10" authorId="0">
      <text>
        <r>
          <t>Optional goal weight. Blank = bodyweight / client chooses.</t>
        </r>
      </text>
    </comment>
    <comment ref="E10" authorId="0">
      <text>
        <r>
          <t>Goal reps for this set. A set row counts once Goal Reps is filled in.</t>
        </r>
      </text>
    </comment>
    <comment ref="F10" authorId="0">
      <text>
        <r>
          <t>Optional, e.g. 8-12.</t>
        </r>
      </text>
    </comment>
    <comment ref="C20" authorId="0">
      <text>
        <r>
          <t>Optional. A section title shown above this exercise in the app, e.g. "Warm-Up" or "Finisher". Leave blank if this exercise continues the section above.</t>
        </r>
      </text>
    </comment>
    <comment ref="E20" authorId="0">
      <text>
        <r>
          <t>Optional notes for the section.</t>
        </r>
      </text>
    </comment>
    <comment ref="C22" authorId="0">
      <text>
        <r>
          <t>Only if the exercise is not in the library. Leave the library box above blank and pick a muscle group to the right.</t>
        </r>
      </text>
    </comment>
    <comment ref="E22" authorId="0">
      <text>
        <r>
          <t>Muscle group — required for a custom exercise.</t>
        </r>
      </text>
    </comment>
    <comment ref="C23" authorId="0">
      <text>
        <r>
          <t>Optional. Give exercises the same letter (A, B, …) to superset them. Paired in the order listed (A1, A2, …).</t>
        </r>
      </text>
    </comment>
    <comment ref="E23" authorId="0">
      <text>
        <r>
          <t>Optional cues for the client: tempo, rest, form.</t>
        </r>
      </text>
    </comment>
    <comment ref="C24" authorId="0">
      <text>
        <r>
          <t>Blank = Regular (or Super Set when a superset letter is set).</t>
        </r>
      </text>
    </comment>
    <comment ref="D24" authorId="0">
      <text>
        <r>
          <t>Optional goal weight. Blank = bodyweight / client chooses.</t>
        </r>
      </text>
    </comment>
    <comment ref="E24" authorId="0">
      <text>
        <r>
          <t>Goal reps for this set. A set row counts once Goal Reps is filled in.</t>
        </r>
      </text>
    </comment>
    <comment ref="F24" authorId="0">
      <text>
        <r>
          <t>Optional, e.g. 8-12.</t>
        </r>
      </text>
    </comment>
    <comment ref="C34" authorId="0">
      <text>
        <r>
          <t>Optional. A section title shown above this exercise in the app, e.g. "Warm-Up" or "Finisher". Leave blank if this exercise continues the section above.</t>
        </r>
      </text>
    </comment>
    <comment ref="E34" authorId="0">
      <text>
        <r>
          <t>Optional notes for the section.</t>
        </r>
      </text>
    </comment>
    <comment ref="C36" authorId="0">
      <text>
        <r>
          <t>Only if the exercise is not in the library. Leave the library box above blank and pick a muscle group to the right.</t>
        </r>
      </text>
    </comment>
    <comment ref="E36" authorId="0">
      <text>
        <r>
          <t>Muscle group — required for a custom exercise.</t>
        </r>
      </text>
    </comment>
    <comment ref="C37" authorId="0">
      <text>
        <r>
          <t>Optional. Give exercises the same letter (A, B, …) to superset them. Paired in the order listed (A1, A2, …).</t>
        </r>
      </text>
    </comment>
    <comment ref="E37" authorId="0">
      <text>
        <r>
          <t>Optional cues for the client: tempo, rest, form.</t>
        </r>
      </text>
    </comment>
    <comment ref="C38" authorId="0">
      <text>
        <r>
          <t>Blank = Regular (or Super Set when a superset letter is set).</t>
        </r>
      </text>
    </comment>
    <comment ref="D38" authorId="0">
      <text>
        <r>
          <t>Optional goal weight. Blank = bodyweight / client chooses.</t>
        </r>
      </text>
    </comment>
    <comment ref="E38" authorId="0">
      <text>
        <r>
          <t>Goal reps for this set. A set row counts once Goal Reps is filled in.</t>
        </r>
      </text>
    </comment>
    <comment ref="F38" authorId="0">
      <text>
        <r>
          <t>Optional, e.g. 8-12.</t>
        </r>
      </text>
    </comment>
    <comment ref="C48" authorId="0">
      <text>
        <r>
          <t>Optional. A section title shown above this exercise in the app, e.g. "Warm-Up" or "Finisher". Leave blank if this exercise continues the section above.</t>
        </r>
      </text>
    </comment>
    <comment ref="E48" authorId="0">
      <text>
        <r>
          <t>Optional notes for the section.</t>
        </r>
      </text>
    </comment>
    <comment ref="C50" authorId="0">
      <text>
        <r>
          <t>Only if the exercise is not in the library. Leave the library box above blank and pick a muscle group to the right.</t>
        </r>
      </text>
    </comment>
    <comment ref="E50" authorId="0">
      <text>
        <r>
          <t>Muscle group — required for a custom exercise.</t>
        </r>
      </text>
    </comment>
    <comment ref="C51" authorId="0">
      <text>
        <r>
          <t>Optional. Give exercises the same letter (A, B, …) to superset them. Paired in the order listed (A1, A2, …).</t>
        </r>
      </text>
    </comment>
    <comment ref="E51" authorId="0">
      <text>
        <r>
          <t>Optional cues for the client: tempo, rest, form.</t>
        </r>
      </text>
    </comment>
    <comment ref="C52" authorId="0">
      <text>
        <r>
          <t>Blank = Regular (or Super Set when a superset letter is set).</t>
        </r>
      </text>
    </comment>
    <comment ref="D52" authorId="0">
      <text>
        <r>
          <t>Optional goal weight. Blank = bodyweight / client chooses.</t>
        </r>
      </text>
    </comment>
    <comment ref="E52" authorId="0">
      <text>
        <r>
          <t>Goal reps for this set. A set row counts once Goal Reps is filled in.</t>
        </r>
      </text>
    </comment>
    <comment ref="F52" authorId="0">
      <text>
        <r>
          <t>Optional, e.g. 8-12.</t>
        </r>
      </text>
    </comment>
    <comment ref="C62" authorId="0">
      <text>
        <r>
          <t>Optional. A section title shown above this exercise in the app, e.g. "Warm-Up" or "Finisher". Leave blank if this exercise continues the section above.</t>
        </r>
      </text>
    </comment>
    <comment ref="E62" authorId="0">
      <text>
        <r>
          <t>Optional notes for the section.</t>
        </r>
      </text>
    </comment>
    <comment ref="C64" authorId="0">
      <text>
        <r>
          <t>Only if the exercise is not in the library. Leave the library box above blank and pick a muscle group to the right.</t>
        </r>
      </text>
    </comment>
    <comment ref="E64" authorId="0">
      <text>
        <r>
          <t>Muscle group — required for a custom exercise.</t>
        </r>
      </text>
    </comment>
    <comment ref="C65" authorId="0">
      <text>
        <r>
          <t>Optional. Give exercises the same letter (A, B, …) to superset them. Paired in the order listed (A1, A2, …).</t>
        </r>
      </text>
    </comment>
    <comment ref="E65" authorId="0">
      <text>
        <r>
          <t>Optional cues for the client: tempo, rest, form.</t>
        </r>
      </text>
    </comment>
    <comment ref="C66" authorId="0">
      <text>
        <r>
          <t>Blank = Regular (or Super Set when a superset letter is set).</t>
        </r>
      </text>
    </comment>
    <comment ref="D66" authorId="0">
      <text>
        <r>
          <t>Optional goal weight. Blank = bodyweight / client chooses.</t>
        </r>
      </text>
    </comment>
    <comment ref="E66" authorId="0">
      <text>
        <r>
          <t>Goal reps for this set. A set row counts once Goal Reps is filled in.</t>
        </r>
      </text>
    </comment>
    <comment ref="F66" authorId="0">
      <text>
        <r>
          <t>Optional, e.g. 8-12.</t>
        </r>
      </text>
    </comment>
    <comment ref="C76" authorId="0">
      <text>
        <r>
          <t>Optional. A section title shown above this exercise in the app, e.g. "Warm-Up" or "Finisher". Leave blank if this exercise continues the section above.</t>
        </r>
      </text>
    </comment>
    <comment ref="E76" authorId="0">
      <text>
        <r>
          <t>Optional notes for the section.</t>
        </r>
      </text>
    </comment>
    <comment ref="C78" authorId="0">
      <text>
        <r>
          <t>Only if the exercise is not in the library. Leave the library box above blank and pick a muscle group to the right.</t>
        </r>
      </text>
    </comment>
    <comment ref="E78" authorId="0">
      <text>
        <r>
          <t>Muscle group — required for a custom exercise.</t>
        </r>
      </text>
    </comment>
    <comment ref="C79" authorId="0">
      <text>
        <r>
          <t>Optional. Give exercises the same letter (A, B, …) to superset them. Paired in the order listed (A1, A2, …).</t>
        </r>
      </text>
    </comment>
    <comment ref="E79" authorId="0">
      <text>
        <r>
          <t>Optional cues for the client: tempo, rest, form.</t>
        </r>
      </text>
    </comment>
    <comment ref="C80" authorId="0">
      <text>
        <r>
          <t>Blank = Regular (or Super Set when a superset letter is set).</t>
        </r>
      </text>
    </comment>
    <comment ref="D80" authorId="0">
      <text>
        <r>
          <t>Optional goal weight. Blank = bodyweight / client chooses.</t>
        </r>
      </text>
    </comment>
    <comment ref="E80" authorId="0">
      <text>
        <r>
          <t>Goal reps for this set. A set row counts once Goal Reps is filled in.</t>
        </r>
      </text>
    </comment>
    <comment ref="F80" authorId="0">
      <text>
        <r>
          <t>Optional, e.g. 8-12.</t>
        </r>
      </text>
    </comment>
    <comment ref="C90" authorId="0">
      <text>
        <r>
          <t>Optional. A section title shown above this exercise in the app, e.g. "Warm-Up" or "Finisher". Leave blank if this exercise continues the section above.</t>
        </r>
      </text>
    </comment>
    <comment ref="E90" authorId="0">
      <text>
        <r>
          <t>Optional notes for the section.</t>
        </r>
      </text>
    </comment>
    <comment ref="C92" authorId="0">
      <text>
        <r>
          <t>Only if the exercise is not in the library. Leave the library box above blank and pick a muscle group to the right.</t>
        </r>
      </text>
    </comment>
    <comment ref="E92" authorId="0">
      <text>
        <r>
          <t>Muscle group — required for a custom exercise.</t>
        </r>
      </text>
    </comment>
    <comment ref="C93" authorId="0">
      <text>
        <r>
          <t>Optional. Give exercises the same letter (A, B, …) to superset them. Paired in the order listed (A1, A2, …).</t>
        </r>
      </text>
    </comment>
    <comment ref="E93" authorId="0">
      <text>
        <r>
          <t>Optional cues for the client: tempo, rest, form.</t>
        </r>
      </text>
    </comment>
    <comment ref="C94" authorId="0">
      <text>
        <r>
          <t>Blank = Regular (or Super Set when a superset letter is set).</t>
        </r>
      </text>
    </comment>
    <comment ref="D94" authorId="0">
      <text>
        <r>
          <t>Optional goal weight. Blank = bodyweight / client chooses.</t>
        </r>
      </text>
    </comment>
    <comment ref="E94" authorId="0">
      <text>
        <r>
          <t>Goal reps for this set. A set row counts once Goal Reps is filled in.</t>
        </r>
      </text>
    </comment>
    <comment ref="F94" authorId="0">
      <text>
        <r>
          <t>Optional, e.g. 8-12.</t>
        </r>
      </text>
    </comment>
    <comment ref="C104" authorId="0">
      <text>
        <r>
          <t>Optional. A section title shown above this exercise in the app, e.g. "Warm-Up" or "Finisher". Leave blank if this exercise continues the section above.</t>
        </r>
      </text>
    </comment>
    <comment ref="E104" authorId="0">
      <text>
        <r>
          <t>Optional notes for the section.</t>
        </r>
      </text>
    </comment>
    <comment ref="C106" authorId="0">
      <text>
        <r>
          <t>Only if the exercise is not in the library. Leave the library box above blank and pick a muscle group to the right.</t>
        </r>
      </text>
    </comment>
    <comment ref="E106" authorId="0">
      <text>
        <r>
          <t>Muscle group — required for a custom exercise.</t>
        </r>
      </text>
    </comment>
    <comment ref="C107" authorId="0">
      <text>
        <r>
          <t>Optional. Give exercises the same letter (A, B, …) to superset them. Paired in the order listed (A1, A2, …).</t>
        </r>
      </text>
    </comment>
    <comment ref="E107" authorId="0">
      <text>
        <r>
          <t>Optional cues for the client: tempo, rest, form.</t>
        </r>
      </text>
    </comment>
    <comment ref="C108" authorId="0">
      <text>
        <r>
          <t>Blank = Regular (or Super Set when a superset letter is set).</t>
        </r>
      </text>
    </comment>
    <comment ref="D108" authorId="0">
      <text>
        <r>
          <t>Optional goal weight. Blank = bodyweight / client chooses.</t>
        </r>
      </text>
    </comment>
    <comment ref="E108" authorId="0">
      <text>
        <r>
          <t>Goal reps for this set. A set row counts once Goal Reps is filled in.</t>
        </r>
      </text>
    </comment>
    <comment ref="F108" authorId="0">
      <text>
        <r>
          <t>Optional, e.g. 8-12.</t>
        </r>
      </text>
    </comment>
    <comment ref="C118" authorId="0">
      <text>
        <r>
          <t>Optional. A section title shown above this exercise in the app, e.g. "Warm-Up" or "Finisher". Leave blank if this exercise continues the section above.</t>
        </r>
      </text>
    </comment>
    <comment ref="E118" authorId="0">
      <text>
        <r>
          <t>Optional notes for the section.</t>
        </r>
      </text>
    </comment>
    <comment ref="C120" authorId="0">
      <text>
        <r>
          <t>Only if the exercise is not in the library. Leave the library box above blank and pick a muscle group to the right.</t>
        </r>
      </text>
    </comment>
    <comment ref="E120" authorId="0">
      <text>
        <r>
          <t>Muscle group — required for a custom exercise.</t>
        </r>
      </text>
    </comment>
    <comment ref="C121" authorId="0">
      <text>
        <r>
          <t>Optional. Give exercises the same letter (A, B, …) to superset them. Paired in the order listed (A1, A2, …).</t>
        </r>
      </text>
    </comment>
    <comment ref="E121" authorId="0">
      <text>
        <r>
          <t>Optional cues for the client: tempo, rest, form.</t>
        </r>
      </text>
    </comment>
    <comment ref="C122" authorId="0">
      <text>
        <r>
          <t>Blank = Regular (or Super Set when a superset letter is set).</t>
        </r>
      </text>
    </comment>
    <comment ref="D122" authorId="0">
      <text>
        <r>
          <t>Optional goal weight. Blank = bodyweight / client chooses.</t>
        </r>
      </text>
    </comment>
    <comment ref="E122" authorId="0">
      <text>
        <r>
          <t>Goal reps for this set. A set row counts once Goal Reps is filled in.</t>
        </r>
      </text>
    </comment>
    <comment ref="F122" authorId="0">
      <text>
        <r>
          <t>Optional, e.g. 8-12.</t>
        </r>
      </text>
    </comment>
    <comment ref="C132" authorId="0">
      <text>
        <r>
          <t>Optional. A section title shown above this exercise in the app, e.g. "Warm-Up" or "Finisher". Leave blank if this exercise continues the section above.</t>
        </r>
      </text>
    </comment>
    <comment ref="E132" authorId="0">
      <text>
        <r>
          <t>Optional notes for the section.</t>
        </r>
      </text>
    </comment>
    <comment ref="C134" authorId="0">
      <text>
        <r>
          <t>Only if the exercise is not in the library. Leave the library box above blank and pick a muscle group to the right.</t>
        </r>
      </text>
    </comment>
    <comment ref="E134" authorId="0">
      <text>
        <r>
          <t>Muscle group — required for a custom exercise.</t>
        </r>
      </text>
    </comment>
    <comment ref="C135" authorId="0">
      <text>
        <r>
          <t>Optional. Give exercises the same letter (A, B, …) to superset them. Paired in the order listed (A1, A2, …).</t>
        </r>
      </text>
    </comment>
    <comment ref="E135" authorId="0">
      <text>
        <r>
          <t>Optional cues for the client: tempo, rest, form.</t>
        </r>
      </text>
    </comment>
    <comment ref="C136" authorId="0">
      <text>
        <r>
          <t>Blank = Regular (or Super Set when a superset letter is set).</t>
        </r>
      </text>
    </comment>
    <comment ref="D136" authorId="0">
      <text>
        <r>
          <t>Optional goal weight. Blank = bodyweight / client chooses.</t>
        </r>
      </text>
    </comment>
    <comment ref="E136" authorId="0">
      <text>
        <r>
          <t>Goal reps for this set. A set row counts once Goal Reps is filled in.</t>
        </r>
      </text>
    </comment>
    <comment ref="F136" authorId="0">
      <text>
        <r>
          <t>Optional, e.g. 8-12.</t>
        </r>
      </text>
    </comment>
    <comment ref="C146" authorId="0">
      <text>
        <r>
          <t>Optional. A section title shown above this exercise in the app, e.g. "Warm-Up" or "Finisher". Leave blank if this exercise continues the section above.</t>
        </r>
      </text>
    </comment>
    <comment ref="E146" authorId="0">
      <text>
        <r>
          <t>Optional notes for the section.</t>
        </r>
      </text>
    </comment>
    <comment ref="C148" authorId="0">
      <text>
        <r>
          <t>Only if the exercise is not in the library. Leave the library box above blank and pick a muscle group to the right.</t>
        </r>
      </text>
    </comment>
    <comment ref="E148" authorId="0">
      <text>
        <r>
          <t>Muscle group — required for a custom exercise.</t>
        </r>
      </text>
    </comment>
    <comment ref="C149" authorId="0">
      <text>
        <r>
          <t>Optional. Give exercises the same letter (A, B, …) to superset them. Paired in the order listed (A1, A2, …).</t>
        </r>
      </text>
    </comment>
    <comment ref="E149" authorId="0">
      <text>
        <r>
          <t>Optional cues for the client: tempo, rest, form.</t>
        </r>
      </text>
    </comment>
    <comment ref="C150" authorId="0">
      <text>
        <r>
          <t>Blank = Regular (or Super Set when a superset letter is set).</t>
        </r>
      </text>
    </comment>
    <comment ref="D150" authorId="0">
      <text>
        <r>
          <t>Optional goal weight. Blank = bodyweight / client chooses.</t>
        </r>
      </text>
    </comment>
    <comment ref="E150" authorId="0">
      <text>
        <r>
          <t>Goal reps for this set. A set row counts once Goal Reps is filled in.</t>
        </r>
      </text>
    </comment>
    <comment ref="F150" authorId="0">
      <text>
        <r>
          <t>Optional, e.g. 8-12.</t>
        </r>
      </text>
    </comment>
    <comment ref="C160" authorId="0">
      <text>
        <r>
          <t>Optional. A section title shown above this exercise in the app, e.g. "Warm-Up" or "Finisher". Leave blank if this exercise continues the section above.</t>
        </r>
      </text>
    </comment>
    <comment ref="E160" authorId="0">
      <text>
        <r>
          <t>Optional notes for the section.</t>
        </r>
      </text>
    </comment>
    <comment ref="C162" authorId="0">
      <text>
        <r>
          <t>Only if the exercise is not in the library. Leave the library box above blank and pick a muscle group to the right.</t>
        </r>
      </text>
    </comment>
    <comment ref="E162" authorId="0">
      <text>
        <r>
          <t>Muscle group — required for a custom exercise.</t>
        </r>
      </text>
    </comment>
    <comment ref="C163" authorId="0">
      <text>
        <r>
          <t>Optional. Give exercises the same letter (A, B, …) to superset them. Paired in the order listed (A1, A2, …).</t>
        </r>
      </text>
    </comment>
    <comment ref="E163" authorId="0">
      <text>
        <r>
          <t>Optional cues for the client: tempo, rest, form.</t>
        </r>
      </text>
    </comment>
    <comment ref="C164" authorId="0">
      <text>
        <r>
          <t>Blank = Regular (or Super Set when a superset letter is set).</t>
        </r>
      </text>
    </comment>
    <comment ref="D164" authorId="0">
      <text>
        <r>
          <t>Optional goal weight. Blank = bodyweight / client chooses.</t>
        </r>
      </text>
    </comment>
    <comment ref="E164" authorId="0">
      <text>
        <r>
          <t>Goal reps for this set. A set row counts once Goal Reps is filled in.</t>
        </r>
      </text>
    </comment>
    <comment ref="F164" authorId="0">
      <text>
        <r>
          <t>Optional, e.g. 8-12.</t>
        </r>
      </text>
    </comment>
    <comment ref="C174" authorId="0">
      <text>
        <r>
          <t>Optional. A section title shown above this exercise in the app, e.g. "Warm-Up" or "Finisher". Leave blank if this exercise continues the section above.</t>
        </r>
      </text>
    </comment>
    <comment ref="E174" authorId="0">
      <text>
        <r>
          <t>Optional notes for the section.</t>
        </r>
      </text>
    </comment>
    <comment ref="C176" authorId="0">
      <text>
        <r>
          <t>Only if the exercise is not in the library. Leave the library box above blank and pick a muscle group to the right.</t>
        </r>
      </text>
    </comment>
    <comment ref="E176" authorId="0">
      <text>
        <r>
          <t>Muscle group — required for a custom exercise.</t>
        </r>
      </text>
    </comment>
    <comment ref="C177" authorId="0">
      <text>
        <r>
          <t>Optional. Give exercises the same letter (A, B, …) to superset them. Paired in the order listed (A1, A2, …).</t>
        </r>
      </text>
    </comment>
    <comment ref="E177" authorId="0">
      <text>
        <r>
          <t>Optional cues for the client: tempo, rest, form.</t>
        </r>
      </text>
    </comment>
    <comment ref="C178" authorId="0">
      <text>
        <r>
          <t>Blank = Regular (or Super Set when a superset letter is set).</t>
        </r>
      </text>
    </comment>
    <comment ref="D178" authorId="0">
      <text>
        <r>
          <t>Optional goal weight. Blank = bodyweight / client chooses.</t>
        </r>
      </text>
    </comment>
    <comment ref="E178" authorId="0">
      <text>
        <r>
          <t>Goal reps for this set. A set row counts once Goal Reps is filled in.</t>
        </r>
      </text>
    </comment>
    <comment ref="F178" authorId="0">
      <text>
        <r>
          <t>Optional, e.g. 8-12.</t>
        </r>
      </text>
    </comment>
    <comment ref="C188" authorId="0">
      <text>
        <r>
          <t>Optional. A section title shown above this exercise in the app, e.g. "Warm-Up" or "Finisher". Leave blank if this exercise continues the section above.</t>
        </r>
      </text>
    </comment>
    <comment ref="E188" authorId="0">
      <text>
        <r>
          <t>Optional notes for the section.</t>
        </r>
      </text>
    </comment>
    <comment ref="C190" authorId="0">
      <text>
        <r>
          <t>Only if the exercise is not in the library. Leave the library box above blank and pick a muscle group to the right.</t>
        </r>
      </text>
    </comment>
    <comment ref="E190" authorId="0">
      <text>
        <r>
          <t>Muscle group — required for a custom exercise.</t>
        </r>
      </text>
    </comment>
    <comment ref="C191" authorId="0">
      <text>
        <r>
          <t>Optional. Give exercises the same letter (A, B, …) to superset them. Paired in the order listed (A1, A2, …).</t>
        </r>
      </text>
    </comment>
    <comment ref="E191" authorId="0">
      <text>
        <r>
          <t>Optional cues for the client: tempo, rest, form.</t>
        </r>
      </text>
    </comment>
    <comment ref="C192" authorId="0">
      <text>
        <r>
          <t>Blank = Regular (or Super Set when a superset letter is set).</t>
        </r>
      </text>
    </comment>
    <comment ref="D192" authorId="0">
      <text>
        <r>
          <t>Optional goal weight. Blank = bodyweight / client chooses.</t>
        </r>
      </text>
    </comment>
    <comment ref="E192" authorId="0">
      <text>
        <r>
          <t>Goal reps for this set. A set row counts once Goal Reps is filled in.</t>
        </r>
      </text>
    </comment>
    <comment ref="F192" authorId="0">
      <text>
        <r>
          <t>Optional, e.g. 8-12.</t>
        </r>
      </text>
    </comment>
    <comment ref="C202" authorId="0">
      <text>
        <r>
          <t>Optional. A section title shown above this exercise in the app, e.g. "Warm-Up" or "Finisher". Leave blank if this exercise continues the section above.</t>
        </r>
      </text>
    </comment>
    <comment ref="E202" authorId="0">
      <text>
        <r>
          <t>Optional notes for the section.</t>
        </r>
      </text>
    </comment>
    <comment ref="C204" authorId="0">
      <text>
        <r>
          <t>Only if the exercise is not in the library. Leave the library box above blank and pick a muscle group to the right.</t>
        </r>
      </text>
    </comment>
    <comment ref="E204" authorId="0">
      <text>
        <r>
          <t>Muscle group — required for a custom exercise.</t>
        </r>
      </text>
    </comment>
    <comment ref="C205" authorId="0">
      <text>
        <r>
          <t>Optional. Give exercises the same letter (A, B, …) to superset them. Paired in the order listed (A1, A2, …).</t>
        </r>
      </text>
    </comment>
    <comment ref="E205" authorId="0">
      <text>
        <r>
          <t>Optional cues for the client: tempo, rest, form.</t>
        </r>
      </text>
    </comment>
    <comment ref="C206" authorId="0">
      <text>
        <r>
          <t>Blank = Regular (or Super Set when a superset letter is set).</t>
        </r>
      </text>
    </comment>
    <comment ref="D206" authorId="0">
      <text>
        <r>
          <t>Optional goal weight. Blank = bodyweight / client chooses.</t>
        </r>
      </text>
    </comment>
    <comment ref="E206" authorId="0">
      <text>
        <r>
          <t>Goal reps for this set. A set row counts once Goal Reps is filled in.</t>
        </r>
      </text>
    </comment>
    <comment ref="F206" authorId="0">
      <text>
        <r>
          <t>Optional, e.g. 8-12.</t>
        </r>
      </text>
    </comment>
  </commentList>
</comments>
</file>

<file path=xl/comments10.xml><?xml version="1.0" encoding="utf-8"?>
<comments xmlns="http://schemas.openxmlformats.org/spreadsheetml/2006/main">
  <authors>
    <author>Author</author>
  </authors>
  <commentList>
    <comment ref="C6" authorId="0">
      <text>
        <r>
          <t>Optional. A section title shown above this exercise in the app, e.g. "Warm-Up" or "Finisher". Leave blank if this exercise continues the section above.</t>
        </r>
      </text>
    </comment>
    <comment ref="E6" authorId="0">
      <text>
        <r>
          <t>Optional notes for the section.</t>
        </r>
      </text>
    </comment>
    <comment ref="C8" authorId="0">
      <text>
        <r>
          <t>Only if the exercise is not in the library. Leave the library box above blank and pick a muscle group to the right.</t>
        </r>
      </text>
    </comment>
    <comment ref="E8" authorId="0">
      <text>
        <r>
          <t>Muscle group — required for a custom exercise.</t>
        </r>
      </text>
    </comment>
    <comment ref="C9" authorId="0">
      <text>
        <r>
          <t>Optional. Give exercises the same letter (A, B, …) to superset them. Paired in the order listed (A1, A2, …).</t>
        </r>
      </text>
    </comment>
    <comment ref="E9" authorId="0">
      <text>
        <r>
          <t>Optional cues for the client: tempo, rest, form.</t>
        </r>
      </text>
    </comment>
    <comment ref="C10" authorId="0">
      <text>
        <r>
          <t>Blank = Regular (or Super Set when a superset letter is set).</t>
        </r>
      </text>
    </comment>
    <comment ref="D10" authorId="0">
      <text>
        <r>
          <t>Optional goal weight. Blank = bodyweight / client chooses.</t>
        </r>
      </text>
    </comment>
    <comment ref="E10" authorId="0">
      <text>
        <r>
          <t>Goal reps for this set. A set row counts once Goal Reps is filled in.</t>
        </r>
      </text>
    </comment>
    <comment ref="F10" authorId="0">
      <text>
        <r>
          <t>Optional, e.g. 8-12.</t>
        </r>
      </text>
    </comment>
    <comment ref="C20" authorId="0">
      <text>
        <r>
          <t>Optional. A section title shown above this exercise in the app, e.g. "Warm-Up" or "Finisher". Leave blank if this exercise continues the section above.</t>
        </r>
      </text>
    </comment>
    <comment ref="E20" authorId="0">
      <text>
        <r>
          <t>Optional notes for the section.</t>
        </r>
      </text>
    </comment>
    <comment ref="C22" authorId="0">
      <text>
        <r>
          <t>Only if the exercise is not in the library. Leave the library box above blank and pick a muscle group to the right.</t>
        </r>
      </text>
    </comment>
    <comment ref="E22" authorId="0">
      <text>
        <r>
          <t>Muscle group — required for a custom exercise.</t>
        </r>
      </text>
    </comment>
    <comment ref="C23" authorId="0">
      <text>
        <r>
          <t>Optional. Give exercises the same letter (A, B, …) to superset them. Paired in the order listed (A1, A2, …).</t>
        </r>
      </text>
    </comment>
    <comment ref="E23" authorId="0">
      <text>
        <r>
          <t>Optional cues for the client: tempo, rest, form.</t>
        </r>
      </text>
    </comment>
    <comment ref="C24" authorId="0">
      <text>
        <r>
          <t>Blank = Regular (or Super Set when a superset letter is set).</t>
        </r>
      </text>
    </comment>
    <comment ref="D24" authorId="0">
      <text>
        <r>
          <t>Optional goal weight. Blank = bodyweight / client chooses.</t>
        </r>
      </text>
    </comment>
    <comment ref="E24" authorId="0">
      <text>
        <r>
          <t>Goal reps for this set. A set row counts once Goal Reps is filled in.</t>
        </r>
      </text>
    </comment>
    <comment ref="F24" authorId="0">
      <text>
        <r>
          <t>Optional, e.g. 8-12.</t>
        </r>
      </text>
    </comment>
    <comment ref="C34" authorId="0">
      <text>
        <r>
          <t>Optional. A section title shown above this exercise in the app, e.g. "Warm-Up" or "Finisher". Leave blank if this exercise continues the section above.</t>
        </r>
      </text>
    </comment>
    <comment ref="E34" authorId="0">
      <text>
        <r>
          <t>Optional notes for the section.</t>
        </r>
      </text>
    </comment>
    <comment ref="C36" authorId="0">
      <text>
        <r>
          <t>Only if the exercise is not in the library. Leave the library box above blank and pick a muscle group to the right.</t>
        </r>
      </text>
    </comment>
    <comment ref="E36" authorId="0">
      <text>
        <r>
          <t>Muscle group — required for a custom exercise.</t>
        </r>
      </text>
    </comment>
    <comment ref="C37" authorId="0">
      <text>
        <r>
          <t>Optional. Give exercises the same letter (A, B, …) to superset them. Paired in the order listed (A1, A2, …).</t>
        </r>
      </text>
    </comment>
    <comment ref="E37" authorId="0">
      <text>
        <r>
          <t>Optional cues for the client: tempo, rest, form.</t>
        </r>
      </text>
    </comment>
    <comment ref="C38" authorId="0">
      <text>
        <r>
          <t>Blank = Regular (or Super Set when a superset letter is set).</t>
        </r>
      </text>
    </comment>
    <comment ref="D38" authorId="0">
      <text>
        <r>
          <t>Optional goal weight. Blank = bodyweight / client chooses.</t>
        </r>
      </text>
    </comment>
    <comment ref="E38" authorId="0">
      <text>
        <r>
          <t>Goal reps for this set. A set row counts once Goal Reps is filled in.</t>
        </r>
      </text>
    </comment>
    <comment ref="F38" authorId="0">
      <text>
        <r>
          <t>Optional, e.g. 8-12.</t>
        </r>
      </text>
    </comment>
    <comment ref="C48" authorId="0">
      <text>
        <r>
          <t>Optional. A section title shown above this exercise in the app, e.g. "Warm-Up" or "Finisher". Leave blank if this exercise continues the section above.</t>
        </r>
      </text>
    </comment>
    <comment ref="E48" authorId="0">
      <text>
        <r>
          <t>Optional notes for the section.</t>
        </r>
      </text>
    </comment>
    <comment ref="C50" authorId="0">
      <text>
        <r>
          <t>Only if the exercise is not in the library. Leave the library box above blank and pick a muscle group to the right.</t>
        </r>
      </text>
    </comment>
    <comment ref="E50" authorId="0">
      <text>
        <r>
          <t>Muscle group — required for a custom exercise.</t>
        </r>
      </text>
    </comment>
    <comment ref="C51" authorId="0">
      <text>
        <r>
          <t>Optional. Give exercises the same letter (A, B, …) to superset them. Paired in the order listed (A1, A2, …).</t>
        </r>
      </text>
    </comment>
    <comment ref="E51" authorId="0">
      <text>
        <r>
          <t>Optional cues for the client: tempo, rest, form.</t>
        </r>
      </text>
    </comment>
    <comment ref="C52" authorId="0">
      <text>
        <r>
          <t>Blank = Regular (or Super Set when a superset letter is set).</t>
        </r>
      </text>
    </comment>
    <comment ref="D52" authorId="0">
      <text>
        <r>
          <t>Optional goal weight. Blank = bodyweight / client chooses.</t>
        </r>
      </text>
    </comment>
    <comment ref="E52" authorId="0">
      <text>
        <r>
          <t>Goal reps for this set. A set row counts once Goal Reps is filled in.</t>
        </r>
      </text>
    </comment>
    <comment ref="F52" authorId="0">
      <text>
        <r>
          <t>Optional, e.g. 8-12.</t>
        </r>
      </text>
    </comment>
    <comment ref="C62" authorId="0">
      <text>
        <r>
          <t>Optional. A section title shown above this exercise in the app, e.g. "Warm-Up" or "Finisher". Leave blank if this exercise continues the section above.</t>
        </r>
      </text>
    </comment>
    <comment ref="E62" authorId="0">
      <text>
        <r>
          <t>Optional notes for the section.</t>
        </r>
      </text>
    </comment>
    <comment ref="C64" authorId="0">
      <text>
        <r>
          <t>Only if the exercise is not in the library. Leave the library box above blank and pick a muscle group to the right.</t>
        </r>
      </text>
    </comment>
    <comment ref="E64" authorId="0">
      <text>
        <r>
          <t>Muscle group — required for a custom exercise.</t>
        </r>
      </text>
    </comment>
    <comment ref="C65" authorId="0">
      <text>
        <r>
          <t>Optional. Give exercises the same letter (A, B, …) to superset them. Paired in the order listed (A1, A2, …).</t>
        </r>
      </text>
    </comment>
    <comment ref="E65" authorId="0">
      <text>
        <r>
          <t>Optional cues for the client: tempo, rest, form.</t>
        </r>
      </text>
    </comment>
    <comment ref="C66" authorId="0">
      <text>
        <r>
          <t>Blank = Regular (or Super Set when a superset letter is set).</t>
        </r>
      </text>
    </comment>
    <comment ref="D66" authorId="0">
      <text>
        <r>
          <t>Optional goal weight. Blank = bodyweight / client chooses.</t>
        </r>
      </text>
    </comment>
    <comment ref="E66" authorId="0">
      <text>
        <r>
          <t>Goal reps for this set. A set row counts once Goal Reps is filled in.</t>
        </r>
      </text>
    </comment>
    <comment ref="F66" authorId="0">
      <text>
        <r>
          <t>Optional, e.g. 8-12.</t>
        </r>
      </text>
    </comment>
    <comment ref="C76" authorId="0">
      <text>
        <r>
          <t>Optional. A section title shown above this exercise in the app, e.g. "Warm-Up" or "Finisher". Leave blank if this exercise continues the section above.</t>
        </r>
      </text>
    </comment>
    <comment ref="E76" authorId="0">
      <text>
        <r>
          <t>Optional notes for the section.</t>
        </r>
      </text>
    </comment>
    <comment ref="C78" authorId="0">
      <text>
        <r>
          <t>Only if the exercise is not in the library. Leave the library box above blank and pick a muscle group to the right.</t>
        </r>
      </text>
    </comment>
    <comment ref="E78" authorId="0">
      <text>
        <r>
          <t>Muscle group — required for a custom exercise.</t>
        </r>
      </text>
    </comment>
    <comment ref="C79" authorId="0">
      <text>
        <r>
          <t>Optional. Give exercises the same letter (A, B, …) to superset them. Paired in the order listed (A1, A2, …).</t>
        </r>
      </text>
    </comment>
    <comment ref="E79" authorId="0">
      <text>
        <r>
          <t>Optional cues for the client: tempo, rest, form.</t>
        </r>
      </text>
    </comment>
    <comment ref="C80" authorId="0">
      <text>
        <r>
          <t>Blank = Regular (or Super Set when a superset letter is set).</t>
        </r>
      </text>
    </comment>
    <comment ref="D80" authorId="0">
      <text>
        <r>
          <t>Optional goal weight. Blank = bodyweight / client chooses.</t>
        </r>
      </text>
    </comment>
    <comment ref="E80" authorId="0">
      <text>
        <r>
          <t>Goal reps for this set. A set row counts once Goal Reps is filled in.</t>
        </r>
      </text>
    </comment>
    <comment ref="F80" authorId="0">
      <text>
        <r>
          <t>Optional, e.g. 8-12.</t>
        </r>
      </text>
    </comment>
    <comment ref="C90" authorId="0">
      <text>
        <r>
          <t>Optional. A section title shown above this exercise in the app, e.g. "Warm-Up" or "Finisher". Leave blank if this exercise continues the section above.</t>
        </r>
      </text>
    </comment>
    <comment ref="E90" authorId="0">
      <text>
        <r>
          <t>Optional notes for the section.</t>
        </r>
      </text>
    </comment>
    <comment ref="C92" authorId="0">
      <text>
        <r>
          <t>Only if the exercise is not in the library. Leave the library box above blank and pick a muscle group to the right.</t>
        </r>
      </text>
    </comment>
    <comment ref="E92" authorId="0">
      <text>
        <r>
          <t>Muscle group — required for a custom exercise.</t>
        </r>
      </text>
    </comment>
    <comment ref="C93" authorId="0">
      <text>
        <r>
          <t>Optional. Give exercises the same letter (A, B, …) to superset them. Paired in the order listed (A1, A2, …).</t>
        </r>
      </text>
    </comment>
    <comment ref="E93" authorId="0">
      <text>
        <r>
          <t>Optional cues for the client: tempo, rest, form.</t>
        </r>
      </text>
    </comment>
    <comment ref="C94" authorId="0">
      <text>
        <r>
          <t>Blank = Regular (or Super Set when a superset letter is set).</t>
        </r>
      </text>
    </comment>
    <comment ref="D94" authorId="0">
      <text>
        <r>
          <t>Optional goal weight. Blank = bodyweight / client chooses.</t>
        </r>
      </text>
    </comment>
    <comment ref="E94" authorId="0">
      <text>
        <r>
          <t>Goal reps for this set. A set row counts once Goal Reps is filled in.</t>
        </r>
      </text>
    </comment>
    <comment ref="F94" authorId="0">
      <text>
        <r>
          <t>Optional, e.g. 8-12.</t>
        </r>
      </text>
    </comment>
    <comment ref="C104" authorId="0">
      <text>
        <r>
          <t>Optional. A section title shown above this exercise in the app, e.g. "Warm-Up" or "Finisher". Leave blank if this exercise continues the section above.</t>
        </r>
      </text>
    </comment>
    <comment ref="E104" authorId="0">
      <text>
        <r>
          <t>Optional notes for the section.</t>
        </r>
      </text>
    </comment>
    <comment ref="C106" authorId="0">
      <text>
        <r>
          <t>Only if the exercise is not in the library. Leave the library box above blank and pick a muscle group to the right.</t>
        </r>
      </text>
    </comment>
    <comment ref="E106" authorId="0">
      <text>
        <r>
          <t>Muscle group — required for a custom exercise.</t>
        </r>
      </text>
    </comment>
    <comment ref="C107" authorId="0">
      <text>
        <r>
          <t>Optional. Give exercises the same letter (A, B, …) to superset them. Paired in the order listed (A1, A2, …).</t>
        </r>
      </text>
    </comment>
    <comment ref="E107" authorId="0">
      <text>
        <r>
          <t>Optional cues for the client: tempo, rest, form.</t>
        </r>
      </text>
    </comment>
    <comment ref="C108" authorId="0">
      <text>
        <r>
          <t>Blank = Regular (or Super Set when a superset letter is set).</t>
        </r>
      </text>
    </comment>
    <comment ref="D108" authorId="0">
      <text>
        <r>
          <t>Optional goal weight. Blank = bodyweight / client chooses.</t>
        </r>
      </text>
    </comment>
    <comment ref="E108" authorId="0">
      <text>
        <r>
          <t>Goal reps for this set. A set row counts once Goal Reps is filled in.</t>
        </r>
      </text>
    </comment>
    <comment ref="F108" authorId="0">
      <text>
        <r>
          <t>Optional, e.g. 8-12.</t>
        </r>
      </text>
    </comment>
    <comment ref="C118" authorId="0">
      <text>
        <r>
          <t>Optional. A section title shown above this exercise in the app, e.g. "Warm-Up" or "Finisher". Leave blank if this exercise continues the section above.</t>
        </r>
      </text>
    </comment>
    <comment ref="E118" authorId="0">
      <text>
        <r>
          <t>Optional notes for the section.</t>
        </r>
      </text>
    </comment>
    <comment ref="C120" authorId="0">
      <text>
        <r>
          <t>Only if the exercise is not in the library. Leave the library box above blank and pick a muscle group to the right.</t>
        </r>
      </text>
    </comment>
    <comment ref="E120" authorId="0">
      <text>
        <r>
          <t>Muscle group — required for a custom exercise.</t>
        </r>
      </text>
    </comment>
    <comment ref="C121" authorId="0">
      <text>
        <r>
          <t>Optional. Give exercises the same letter (A, B, …) to superset them. Paired in the order listed (A1, A2, …).</t>
        </r>
      </text>
    </comment>
    <comment ref="E121" authorId="0">
      <text>
        <r>
          <t>Optional cues for the client: tempo, rest, form.</t>
        </r>
      </text>
    </comment>
    <comment ref="C122" authorId="0">
      <text>
        <r>
          <t>Blank = Regular (or Super Set when a superset letter is set).</t>
        </r>
      </text>
    </comment>
    <comment ref="D122" authorId="0">
      <text>
        <r>
          <t>Optional goal weight. Blank = bodyweight / client chooses.</t>
        </r>
      </text>
    </comment>
    <comment ref="E122" authorId="0">
      <text>
        <r>
          <t>Goal reps for this set. A set row counts once Goal Reps is filled in.</t>
        </r>
      </text>
    </comment>
    <comment ref="F122" authorId="0">
      <text>
        <r>
          <t>Optional, e.g. 8-12.</t>
        </r>
      </text>
    </comment>
    <comment ref="C132" authorId="0">
      <text>
        <r>
          <t>Optional. A section title shown above this exercise in the app, e.g. "Warm-Up" or "Finisher". Leave blank if this exercise continues the section above.</t>
        </r>
      </text>
    </comment>
    <comment ref="E132" authorId="0">
      <text>
        <r>
          <t>Optional notes for the section.</t>
        </r>
      </text>
    </comment>
    <comment ref="C134" authorId="0">
      <text>
        <r>
          <t>Only if the exercise is not in the library. Leave the library box above blank and pick a muscle group to the right.</t>
        </r>
      </text>
    </comment>
    <comment ref="E134" authorId="0">
      <text>
        <r>
          <t>Muscle group — required for a custom exercise.</t>
        </r>
      </text>
    </comment>
    <comment ref="C135" authorId="0">
      <text>
        <r>
          <t>Optional. Give exercises the same letter (A, B, …) to superset them. Paired in the order listed (A1, A2, …).</t>
        </r>
      </text>
    </comment>
    <comment ref="E135" authorId="0">
      <text>
        <r>
          <t>Optional cues for the client: tempo, rest, form.</t>
        </r>
      </text>
    </comment>
    <comment ref="C136" authorId="0">
      <text>
        <r>
          <t>Blank = Regular (or Super Set when a superset letter is set).</t>
        </r>
      </text>
    </comment>
    <comment ref="D136" authorId="0">
      <text>
        <r>
          <t>Optional goal weight. Blank = bodyweight / client chooses.</t>
        </r>
      </text>
    </comment>
    <comment ref="E136" authorId="0">
      <text>
        <r>
          <t>Goal reps for this set. A set row counts once Goal Reps is filled in.</t>
        </r>
      </text>
    </comment>
    <comment ref="F136" authorId="0">
      <text>
        <r>
          <t>Optional, e.g. 8-12.</t>
        </r>
      </text>
    </comment>
    <comment ref="C146" authorId="0">
      <text>
        <r>
          <t>Optional. A section title shown above this exercise in the app, e.g. "Warm-Up" or "Finisher". Leave blank if this exercise continues the section above.</t>
        </r>
      </text>
    </comment>
    <comment ref="E146" authorId="0">
      <text>
        <r>
          <t>Optional notes for the section.</t>
        </r>
      </text>
    </comment>
    <comment ref="C148" authorId="0">
      <text>
        <r>
          <t>Only if the exercise is not in the library. Leave the library box above blank and pick a muscle group to the right.</t>
        </r>
      </text>
    </comment>
    <comment ref="E148" authorId="0">
      <text>
        <r>
          <t>Muscle group — required for a custom exercise.</t>
        </r>
      </text>
    </comment>
    <comment ref="C149" authorId="0">
      <text>
        <r>
          <t>Optional. Give exercises the same letter (A, B, …) to superset them. Paired in the order listed (A1, A2, …).</t>
        </r>
      </text>
    </comment>
    <comment ref="E149" authorId="0">
      <text>
        <r>
          <t>Optional cues for the client: tempo, rest, form.</t>
        </r>
      </text>
    </comment>
    <comment ref="C150" authorId="0">
      <text>
        <r>
          <t>Blank = Regular (or Super Set when a superset letter is set).</t>
        </r>
      </text>
    </comment>
    <comment ref="D150" authorId="0">
      <text>
        <r>
          <t>Optional goal weight. Blank = bodyweight / client chooses.</t>
        </r>
      </text>
    </comment>
    <comment ref="E150" authorId="0">
      <text>
        <r>
          <t>Goal reps for this set. A set row counts once Goal Reps is filled in.</t>
        </r>
      </text>
    </comment>
    <comment ref="F150" authorId="0">
      <text>
        <r>
          <t>Optional, e.g. 8-12.</t>
        </r>
      </text>
    </comment>
    <comment ref="C160" authorId="0">
      <text>
        <r>
          <t>Optional. A section title shown above this exercise in the app, e.g. "Warm-Up" or "Finisher". Leave blank if this exercise continues the section above.</t>
        </r>
      </text>
    </comment>
    <comment ref="E160" authorId="0">
      <text>
        <r>
          <t>Optional notes for the section.</t>
        </r>
      </text>
    </comment>
    <comment ref="C162" authorId="0">
      <text>
        <r>
          <t>Only if the exercise is not in the library. Leave the library box above blank and pick a muscle group to the right.</t>
        </r>
      </text>
    </comment>
    <comment ref="E162" authorId="0">
      <text>
        <r>
          <t>Muscle group — required for a custom exercise.</t>
        </r>
      </text>
    </comment>
    <comment ref="C163" authorId="0">
      <text>
        <r>
          <t>Optional. Give exercises the same letter (A, B, …) to superset them. Paired in the order listed (A1, A2, …).</t>
        </r>
      </text>
    </comment>
    <comment ref="E163" authorId="0">
      <text>
        <r>
          <t>Optional cues for the client: tempo, rest, form.</t>
        </r>
      </text>
    </comment>
    <comment ref="C164" authorId="0">
      <text>
        <r>
          <t>Blank = Regular (or Super Set when a superset letter is set).</t>
        </r>
      </text>
    </comment>
    <comment ref="D164" authorId="0">
      <text>
        <r>
          <t>Optional goal weight. Blank = bodyweight / client chooses.</t>
        </r>
      </text>
    </comment>
    <comment ref="E164" authorId="0">
      <text>
        <r>
          <t>Goal reps for this set. A set row counts once Goal Reps is filled in.</t>
        </r>
      </text>
    </comment>
    <comment ref="F164" authorId="0">
      <text>
        <r>
          <t>Optional, e.g. 8-12.</t>
        </r>
      </text>
    </comment>
    <comment ref="C174" authorId="0">
      <text>
        <r>
          <t>Optional. A section title shown above this exercise in the app, e.g. "Warm-Up" or "Finisher". Leave blank if this exercise continues the section above.</t>
        </r>
      </text>
    </comment>
    <comment ref="E174" authorId="0">
      <text>
        <r>
          <t>Optional notes for the section.</t>
        </r>
      </text>
    </comment>
    <comment ref="C176" authorId="0">
      <text>
        <r>
          <t>Only if the exercise is not in the library. Leave the library box above blank and pick a muscle group to the right.</t>
        </r>
      </text>
    </comment>
    <comment ref="E176" authorId="0">
      <text>
        <r>
          <t>Muscle group — required for a custom exercise.</t>
        </r>
      </text>
    </comment>
    <comment ref="C177" authorId="0">
      <text>
        <r>
          <t>Optional. Give exercises the same letter (A, B, …) to superset them. Paired in the order listed (A1, A2, …).</t>
        </r>
      </text>
    </comment>
    <comment ref="E177" authorId="0">
      <text>
        <r>
          <t>Optional cues for the client: tempo, rest, form.</t>
        </r>
      </text>
    </comment>
    <comment ref="C178" authorId="0">
      <text>
        <r>
          <t>Blank = Regular (or Super Set when a superset letter is set).</t>
        </r>
      </text>
    </comment>
    <comment ref="D178" authorId="0">
      <text>
        <r>
          <t>Optional goal weight. Blank = bodyweight / client chooses.</t>
        </r>
      </text>
    </comment>
    <comment ref="E178" authorId="0">
      <text>
        <r>
          <t>Goal reps for this set. A set row counts once Goal Reps is filled in.</t>
        </r>
      </text>
    </comment>
    <comment ref="F178" authorId="0">
      <text>
        <r>
          <t>Optional, e.g. 8-12.</t>
        </r>
      </text>
    </comment>
    <comment ref="C188" authorId="0">
      <text>
        <r>
          <t>Optional. A section title shown above this exercise in the app, e.g. "Warm-Up" or "Finisher". Leave blank if this exercise continues the section above.</t>
        </r>
      </text>
    </comment>
    <comment ref="E188" authorId="0">
      <text>
        <r>
          <t>Optional notes for the section.</t>
        </r>
      </text>
    </comment>
    <comment ref="C190" authorId="0">
      <text>
        <r>
          <t>Only if the exercise is not in the library. Leave the library box above blank and pick a muscle group to the right.</t>
        </r>
      </text>
    </comment>
    <comment ref="E190" authorId="0">
      <text>
        <r>
          <t>Muscle group — required for a custom exercise.</t>
        </r>
      </text>
    </comment>
    <comment ref="C191" authorId="0">
      <text>
        <r>
          <t>Optional. Give exercises the same letter (A, B, …) to superset them. Paired in the order listed (A1, A2, …).</t>
        </r>
      </text>
    </comment>
    <comment ref="E191" authorId="0">
      <text>
        <r>
          <t>Optional cues for the client: tempo, rest, form.</t>
        </r>
      </text>
    </comment>
    <comment ref="C192" authorId="0">
      <text>
        <r>
          <t>Blank = Regular (or Super Set when a superset letter is set).</t>
        </r>
      </text>
    </comment>
    <comment ref="D192" authorId="0">
      <text>
        <r>
          <t>Optional goal weight. Blank = bodyweight / client chooses.</t>
        </r>
      </text>
    </comment>
    <comment ref="E192" authorId="0">
      <text>
        <r>
          <t>Goal reps for this set. A set row counts once Goal Reps is filled in.</t>
        </r>
      </text>
    </comment>
    <comment ref="F192" authorId="0">
      <text>
        <r>
          <t>Optional, e.g. 8-12.</t>
        </r>
      </text>
    </comment>
    <comment ref="C202" authorId="0">
      <text>
        <r>
          <t>Optional. A section title shown above this exercise in the app, e.g. "Warm-Up" or "Finisher". Leave blank if this exercise continues the section above.</t>
        </r>
      </text>
    </comment>
    <comment ref="E202" authorId="0">
      <text>
        <r>
          <t>Optional notes for the section.</t>
        </r>
      </text>
    </comment>
    <comment ref="C204" authorId="0">
      <text>
        <r>
          <t>Only if the exercise is not in the library. Leave the library box above blank and pick a muscle group to the right.</t>
        </r>
      </text>
    </comment>
    <comment ref="E204" authorId="0">
      <text>
        <r>
          <t>Muscle group — required for a custom exercise.</t>
        </r>
      </text>
    </comment>
    <comment ref="C205" authorId="0">
      <text>
        <r>
          <t>Optional. Give exercises the same letter (A, B, …) to superset them. Paired in the order listed (A1, A2, …).</t>
        </r>
      </text>
    </comment>
    <comment ref="E205" authorId="0">
      <text>
        <r>
          <t>Optional cues for the client: tempo, rest, form.</t>
        </r>
      </text>
    </comment>
    <comment ref="C206" authorId="0">
      <text>
        <r>
          <t>Blank = Regular (or Super Set when a superset letter is set).</t>
        </r>
      </text>
    </comment>
    <comment ref="D206" authorId="0">
      <text>
        <r>
          <t>Optional goal weight. Blank = bodyweight / client chooses.</t>
        </r>
      </text>
    </comment>
    <comment ref="E206" authorId="0">
      <text>
        <r>
          <t>Goal reps for this set. A set row counts once Goal Reps is filled in.</t>
        </r>
      </text>
    </comment>
    <comment ref="F206" authorId="0">
      <text>
        <r>
          <t>Optional, e.g. 8-12.</t>
        </r>
      </text>
    </comment>
  </commentList>
</comments>
</file>

<file path=xl/comments11.xml><?xml version="1.0" encoding="utf-8"?>
<comments xmlns="http://schemas.openxmlformats.org/spreadsheetml/2006/main">
  <authors>
    <author>Author</author>
  </authors>
  <commentList>
    <comment ref="C6" authorId="0">
      <text>
        <r>
          <t>Optional. A section title shown above this exercise in the app, e.g. "Warm-Up" or "Finisher". Leave blank if this exercise continues the section above.</t>
        </r>
      </text>
    </comment>
    <comment ref="E6" authorId="0">
      <text>
        <r>
          <t>Optional notes for the section.</t>
        </r>
      </text>
    </comment>
    <comment ref="C8" authorId="0">
      <text>
        <r>
          <t>Only if the exercise is not in the library. Leave the library box above blank and pick a muscle group to the right.</t>
        </r>
      </text>
    </comment>
    <comment ref="E8" authorId="0">
      <text>
        <r>
          <t>Muscle group — required for a custom exercise.</t>
        </r>
      </text>
    </comment>
    <comment ref="C9" authorId="0">
      <text>
        <r>
          <t>Optional. Give exercises the same letter (A, B, …) to superset them. Paired in the order listed (A1, A2, …).</t>
        </r>
      </text>
    </comment>
    <comment ref="E9" authorId="0">
      <text>
        <r>
          <t>Optional cues for the client: tempo, rest, form.</t>
        </r>
      </text>
    </comment>
    <comment ref="C10" authorId="0">
      <text>
        <r>
          <t>Blank = Regular (or Super Set when a superset letter is set).</t>
        </r>
      </text>
    </comment>
    <comment ref="D10" authorId="0">
      <text>
        <r>
          <t>Optional goal weight. Blank = bodyweight / client chooses.</t>
        </r>
      </text>
    </comment>
    <comment ref="E10" authorId="0">
      <text>
        <r>
          <t>Goal reps for this set. A set row counts once Goal Reps is filled in.</t>
        </r>
      </text>
    </comment>
    <comment ref="F10" authorId="0">
      <text>
        <r>
          <t>Optional, e.g. 8-12.</t>
        </r>
      </text>
    </comment>
    <comment ref="C20" authorId="0">
      <text>
        <r>
          <t>Optional. A section title shown above this exercise in the app, e.g. "Warm-Up" or "Finisher". Leave blank if this exercise continues the section above.</t>
        </r>
      </text>
    </comment>
    <comment ref="E20" authorId="0">
      <text>
        <r>
          <t>Optional notes for the section.</t>
        </r>
      </text>
    </comment>
    <comment ref="C22" authorId="0">
      <text>
        <r>
          <t>Only if the exercise is not in the library. Leave the library box above blank and pick a muscle group to the right.</t>
        </r>
      </text>
    </comment>
    <comment ref="E22" authorId="0">
      <text>
        <r>
          <t>Muscle group — required for a custom exercise.</t>
        </r>
      </text>
    </comment>
    <comment ref="C23" authorId="0">
      <text>
        <r>
          <t>Optional. Give exercises the same letter (A, B, …) to superset them. Paired in the order listed (A1, A2, …).</t>
        </r>
      </text>
    </comment>
    <comment ref="E23" authorId="0">
      <text>
        <r>
          <t>Optional cues for the client: tempo, rest, form.</t>
        </r>
      </text>
    </comment>
    <comment ref="C24" authorId="0">
      <text>
        <r>
          <t>Blank = Regular (or Super Set when a superset letter is set).</t>
        </r>
      </text>
    </comment>
    <comment ref="D24" authorId="0">
      <text>
        <r>
          <t>Optional goal weight. Blank = bodyweight / client chooses.</t>
        </r>
      </text>
    </comment>
    <comment ref="E24" authorId="0">
      <text>
        <r>
          <t>Goal reps for this set. A set row counts once Goal Reps is filled in.</t>
        </r>
      </text>
    </comment>
    <comment ref="F24" authorId="0">
      <text>
        <r>
          <t>Optional, e.g. 8-12.</t>
        </r>
      </text>
    </comment>
    <comment ref="C34" authorId="0">
      <text>
        <r>
          <t>Optional. A section title shown above this exercise in the app, e.g. "Warm-Up" or "Finisher". Leave blank if this exercise continues the section above.</t>
        </r>
      </text>
    </comment>
    <comment ref="E34" authorId="0">
      <text>
        <r>
          <t>Optional notes for the section.</t>
        </r>
      </text>
    </comment>
    <comment ref="C36" authorId="0">
      <text>
        <r>
          <t>Only if the exercise is not in the library. Leave the library box above blank and pick a muscle group to the right.</t>
        </r>
      </text>
    </comment>
    <comment ref="E36" authorId="0">
      <text>
        <r>
          <t>Muscle group — required for a custom exercise.</t>
        </r>
      </text>
    </comment>
    <comment ref="C37" authorId="0">
      <text>
        <r>
          <t>Optional. Give exercises the same letter (A, B, …) to superset them. Paired in the order listed (A1, A2, …).</t>
        </r>
      </text>
    </comment>
    <comment ref="E37" authorId="0">
      <text>
        <r>
          <t>Optional cues for the client: tempo, rest, form.</t>
        </r>
      </text>
    </comment>
    <comment ref="C38" authorId="0">
      <text>
        <r>
          <t>Blank = Regular (or Super Set when a superset letter is set).</t>
        </r>
      </text>
    </comment>
    <comment ref="D38" authorId="0">
      <text>
        <r>
          <t>Optional goal weight. Blank = bodyweight / client chooses.</t>
        </r>
      </text>
    </comment>
    <comment ref="E38" authorId="0">
      <text>
        <r>
          <t>Goal reps for this set. A set row counts once Goal Reps is filled in.</t>
        </r>
      </text>
    </comment>
    <comment ref="F38" authorId="0">
      <text>
        <r>
          <t>Optional, e.g. 8-12.</t>
        </r>
      </text>
    </comment>
    <comment ref="C48" authorId="0">
      <text>
        <r>
          <t>Optional. A section title shown above this exercise in the app, e.g. "Warm-Up" or "Finisher". Leave blank if this exercise continues the section above.</t>
        </r>
      </text>
    </comment>
    <comment ref="E48" authorId="0">
      <text>
        <r>
          <t>Optional notes for the section.</t>
        </r>
      </text>
    </comment>
    <comment ref="C50" authorId="0">
      <text>
        <r>
          <t>Only if the exercise is not in the library. Leave the library box above blank and pick a muscle group to the right.</t>
        </r>
      </text>
    </comment>
    <comment ref="E50" authorId="0">
      <text>
        <r>
          <t>Muscle group — required for a custom exercise.</t>
        </r>
      </text>
    </comment>
    <comment ref="C51" authorId="0">
      <text>
        <r>
          <t>Optional. Give exercises the same letter (A, B, …) to superset them. Paired in the order listed (A1, A2, …).</t>
        </r>
      </text>
    </comment>
    <comment ref="E51" authorId="0">
      <text>
        <r>
          <t>Optional cues for the client: tempo, rest, form.</t>
        </r>
      </text>
    </comment>
    <comment ref="C52" authorId="0">
      <text>
        <r>
          <t>Blank = Regular (or Super Set when a superset letter is set).</t>
        </r>
      </text>
    </comment>
    <comment ref="D52" authorId="0">
      <text>
        <r>
          <t>Optional goal weight. Blank = bodyweight / client chooses.</t>
        </r>
      </text>
    </comment>
    <comment ref="E52" authorId="0">
      <text>
        <r>
          <t>Goal reps for this set. A set row counts once Goal Reps is filled in.</t>
        </r>
      </text>
    </comment>
    <comment ref="F52" authorId="0">
      <text>
        <r>
          <t>Optional, e.g. 8-12.</t>
        </r>
      </text>
    </comment>
    <comment ref="C62" authorId="0">
      <text>
        <r>
          <t>Optional. A section title shown above this exercise in the app, e.g. "Warm-Up" or "Finisher". Leave blank if this exercise continues the section above.</t>
        </r>
      </text>
    </comment>
    <comment ref="E62" authorId="0">
      <text>
        <r>
          <t>Optional notes for the section.</t>
        </r>
      </text>
    </comment>
    <comment ref="C64" authorId="0">
      <text>
        <r>
          <t>Only if the exercise is not in the library. Leave the library box above blank and pick a muscle group to the right.</t>
        </r>
      </text>
    </comment>
    <comment ref="E64" authorId="0">
      <text>
        <r>
          <t>Muscle group — required for a custom exercise.</t>
        </r>
      </text>
    </comment>
    <comment ref="C65" authorId="0">
      <text>
        <r>
          <t>Optional. Give exercises the same letter (A, B, …) to superset them. Paired in the order listed (A1, A2, …).</t>
        </r>
      </text>
    </comment>
    <comment ref="E65" authorId="0">
      <text>
        <r>
          <t>Optional cues for the client: tempo, rest, form.</t>
        </r>
      </text>
    </comment>
    <comment ref="C66" authorId="0">
      <text>
        <r>
          <t>Blank = Regular (or Super Set when a superset letter is set).</t>
        </r>
      </text>
    </comment>
    <comment ref="D66" authorId="0">
      <text>
        <r>
          <t>Optional goal weight. Blank = bodyweight / client chooses.</t>
        </r>
      </text>
    </comment>
    <comment ref="E66" authorId="0">
      <text>
        <r>
          <t>Goal reps for this set. A set row counts once Goal Reps is filled in.</t>
        </r>
      </text>
    </comment>
    <comment ref="F66" authorId="0">
      <text>
        <r>
          <t>Optional, e.g. 8-12.</t>
        </r>
      </text>
    </comment>
    <comment ref="C76" authorId="0">
      <text>
        <r>
          <t>Optional. A section title shown above this exercise in the app, e.g. "Warm-Up" or "Finisher". Leave blank if this exercise continues the section above.</t>
        </r>
      </text>
    </comment>
    <comment ref="E76" authorId="0">
      <text>
        <r>
          <t>Optional notes for the section.</t>
        </r>
      </text>
    </comment>
    <comment ref="C78" authorId="0">
      <text>
        <r>
          <t>Only if the exercise is not in the library. Leave the library box above blank and pick a muscle group to the right.</t>
        </r>
      </text>
    </comment>
    <comment ref="E78" authorId="0">
      <text>
        <r>
          <t>Muscle group — required for a custom exercise.</t>
        </r>
      </text>
    </comment>
    <comment ref="C79" authorId="0">
      <text>
        <r>
          <t>Optional. Give exercises the same letter (A, B, …) to superset them. Paired in the order listed (A1, A2, …).</t>
        </r>
      </text>
    </comment>
    <comment ref="E79" authorId="0">
      <text>
        <r>
          <t>Optional cues for the client: tempo, rest, form.</t>
        </r>
      </text>
    </comment>
    <comment ref="C80" authorId="0">
      <text>
        <r>
          <t>Blank = Regular (or Super Set when a superset letter is set).</t>
        </r>
      </text>
    </comment>
    <comment ref="D80" authorId="0">
      <text>
        <r>
          <t>Optional goal weight. Blank = bodyweight / client chooses.</t>
        </r>
      </text>
    </comment>
    <comment ref="E80" authorId="0">
      <text>
        <r>
          <t>Goal reps for this set. A set row counts once Goal Reps is filled in.</t>
        </r>
      </text>
    </comment>
    <comment ref="F80" authorId="0">
      <text>
        <r>
          <t>Optional, e.g. 8-12.</t>
        </r>
      </text>
    </comment>
    <comment ref="C90" authorId="0">
      <text>
        <r>
          <t>Optional. A section title shown above this exercise in the app, e.g. "Warm-Up" or "Finisher". Leave blank if this exercise continues the section above.</t>
        </r>
      </text>
    </comment>
    <comment ref="E90" authorId="0">
      <text>
        <r>
          <t>Optional notes for the section.</t>
        </r>
      </text>
    </comment>
    <comment ref="C92" authorId="0">
      <text>
        <r>
          <t>Only if the exercise is not in the library. Leave the library box above blank and pick a muscle group to the right.</t>
        </r>
      </text>
    </comment>
    <comment ref="E92" authorId="0">
      <text>
        <r>
          <t>Muscle group — required for a custom exercise.</t>
        </r>
      </text>
    </comment>
    <comment ref="C93" authorId="0">
      <text>
        <r>
          <t>Optional. Give exercises the same letter (A, B, …) to superset them. Paired in the order listed (A1, A2, …).</t>
        </r>
      </text>
    </comment>
    <comment ref="E93" authorId="0">
      <text>
        <r>
          <t>Optional cues for the client: tempo, rest, form.</t>
        </r>
      </text>
    </comment>
    <comment ref="C94" authorId="0">
      <text>
        <r>
          <t>Blank = Regular (or Super Set when a superset letter is set).</t>
        </r>
      </text>
    </comment>
    <comment ref="D94" authorId="0">
      <text>
        <r>
          <t>Optional goal weight. Blank = bodyweight / client chooses.</t>
        </r>
      </text>
    </comment>
    <comment ref="E94" authorId="0">
      <text>
        <r>
          <t>Goal reps for this set. A set row counts once Goal Reps is filled in.</t>
        </r>
      </text>
    </comment>
    <comment ref="F94" authorId="0">
      <text>
        <r>
          <t>Optional, e.g. 8-12.</t>
        </r>
      </text>
    </comment>
    <comment ref="C104" authorId="0">
      <text>
        <r>
          <t>Optional. A section title shown above this exercise in the app, e.g. "Warm-Up" or "Finisher". Leave blank if this exercise continues the section above.</t>
        </r>
      </text>
    </comment>
    <comment ref="E104" authorId="0">
      <text>
        <r>
          <t>Optional notes for the section.</t>
        </r>
      </text>
    </comment>
    <comment ref="C106" authorId="0">
      <text>
        <r>
          <t>Only if the exercise is not in the library. Leave the library box above blank and pick a muscle group to the right.</t>
        </r>
      </text>
    </comment>
    <comment ref="E106" authorId="0">
      <text>
        <r>
          <t>Muscle group — required for a custom exercise.</t>
        </r>
      </text>
    </comment>
    <comment ref="C107" authorId="0">
      <text>
        <r>
          <t>Optional. Give exercises the same letter (A, B, …) to superset them. Paired in the order listed (A1, A2, …).</t>
        </r>
      </text>
    </comment>
    <comment ref="E107" authorId="0">
      <text>
        <r>
          <t>Optional cues for the client: tempo, rest, form.</t>
        </r>
      </text>
    </comment>
    <comment ref="C108" authorId="0">
      <text>
        <r>
          <t>Blank = Regular (or Super Set when a superset letter is set).</t>
        </r>
      </text>
    </comment>
    <comment ref="D108" authorId="0">
      <text>
        <r>
          <t>Optional goal weight. Blank = bodyweight / client chooses.</t>
        </r>
      </text>
    </comment>
    <comment ref="E108" authorId="0">
      <text>
        <r>
          <t>Goal reps for this set. A set row counts once Goal Reps is filled in.</t>
        </r>
      </text>
    </comment>
    <comment ref="F108" authorId="0">
      <text>
        <r>
          <t>Optional, e.g. 8-12.</t>
        </r>
      </text>
    </comment>
    <comment ref="C118" authorId="0">
      <text>
        <r>
          <t>Optional. A section title shown above this exercise in the app, e.g. "Warm-Up" or "Finisher". Leave blank if this exercise continues the section above.</t>
        </r>
      </text>
    </comment>
    <comment ref="E118" authorId="0">
      <text>
        <r>
          <t>Optional notes for the section.</t>
        </r>
      </text>
    </comment>
    <comment ref="C120" authorId="0">
      <text>
        <r>
          <t>Only if the exercise is not in the library. Leave the library box above blank and pick a muscle group to the right.</t>
        </r>
      </text>
    </comment>
    <comment ref="E120" authorId="0">
      <text>
        <r>
          <t>Muscle group — required for a custom exercise.</t>
        </r>
      </text>
    </comment>
    <comment ref="C121" authorId="0">
      <text>
        <r>
          <t>Optional. Give exercises the same letter (A, B, …) to superset them. Paired in the order listed (A1, A2, …).</t>
        </r>
      </text>
    </comment>
    <comment ref="E121" authorId="0">
      <text>
        <r>
          <t>Optional cues for the client: tempo, rest, form.</t>
        </r>
      </text>
    </comment>
    <comment ref="C122" authorId="0">
      <text>
        <r>
          <t>Blank = Regular (or Super Set when a superset letter is set).</t>
        </r>
      </text>
    </comment>
    <comment ref="D122" authorId="0">
      <text>
        <r>
          <t>Optional goal weight. Blank = bodyweight / client chooses.</t>
        </r>
      </text>
    </comment>
    <comment ref="E122" authorId="0">
      <text>
        <r>
          <t>Goal reps for this set. A set row counts once Goal Reps is filled in.</t>
        </r>
      </text>
    </comment>
    <comment ref="F122" authorId="0">
      <text>
        <r>
          <t>Optional, e.g. 8-12.</t>
        </r>
      </text>
    </comment>
    <comment ref="C132" authorId="0">
      <text>
        <r>
          <t>Optional. A section title shown above this exercise in the app, e.g. "Warm-Up" or "Finisher". Leave blank if this exercise continues the section above.</t>
        </r>
      </text>
    </comment>
    <comment ref="E132" authorId="0">
      <text>
        <r>
          <t>Optional notes for the section.</t>
        </r>
      </text>
    </comment>
    <comment ref="C134" authorId="0">
      <text>
        <r>
          <t>Only if the exercise is not in the library. Leave the library box above blank and pick a muscle group to the right.</t>
        </r>
      </text>
    </comment>
    <comment ref="E134" authorId="0">
      <text>
        <r>
          <t>Muscle group — required for a custom exercise.</t>
        </r>
      </text>
    </comment>
    <comment ref="C135" authorId="0">
      <text>
        <r>
          <t>Optional. Give exercises the same letter (A, B, …) to superset them. Paired in the order listed (A1, A2, …).</t>
        </r>
      </text>
    </comment>
    <comment ref="E135" authorId="0">
      <text>
        <r>
          <t>Optional cues for the client: tempo, rest, form.</t>
        </r>
      </text>
    </comment>
    <comment ref="C136" authorId="0">
      <text>
        <r>
          <t>Blank = Regular (or Super Set when a superset letter is set).</t>
        </r>
      </text>
    </comment>
    <comment ref="D136" authorId="0">
      <text>
        <r>
          <t>Optional goal weight. Blank = bodyweight / client chooses.</t>
        </r>
      </text>
    </comment>
    <comment ref="E136" authorId="0">
      <text>
        <r>
          <t>Goal reps for this set. A set row counts once Goal Reps is filled in.</t>
        </r>
      </text>
    </comment>
    <comment ref="F136" authorId="0">
      <text>
        <r>
          <t>Optional, e.g. 8-12.</t>
        </r>
      </text>
    </comment>
    <comment ref="C146" authorId="0">
      <text>
        <r>
          <t>Optional. A section title shown above this exercise in the app, e.g. "Warm-Up" or "Finisher". Leave blank if this exercise continues the section above.</t>
        </r>
      </text>
    </comment>
    <comment ref="E146" authorId="0">
      <text>
        <r>
          <t>Optional notes for the section.</t>
        </r>
      </text>
    </comment>
    <comment ref="C148" authorId="0">
      <text>
        <r>
          <t>Only if the exercise is not in the library. Leave the library box above blank and pick a muscle group to the right.</t>
        </r>
      </text>
    </comment>
    <comment ref="E148" authorId="0">
      <text>
        <r>
          <t>Muscle group — required for a custom exercise.</t>
        </r>
      </text>
    </comment>
    <comment ref="C149" authorId="0">
      <text>
        <r>
          <t>Optional. Give exercises the same letter (A, B, …) to superset them. Paired in the order listed (A1, A2, …).</t>
        </r>
      </text>
    </comment>
    <comment ref="E149" authorId="0">
      <text>
        <r>
          <t>Optional cues for the client: tempo, rest, form.</t>
        </r>
      </text>
    </comment>
    <comment ref="C150" authorId="0">
      <text>
        <r>
          <t>Blank = Regular (or Super Set when a superset letter is set).</t>
        </r>
      </text>
    </comment>
    <comment ref="D150" authorId="0">
      <text>
        <r>
          <t>Optional goal weight. Blank = bodyweight / client chooses.</t>
        </r>
      </text>
    </comment>
    <comment ref="E150" authorId="0">
      <text>
        <r>
          <t>Goal reps for this set. A set row counts once Goal Reps is filled in.</t>
        </r>
      </text>
    </comment>
    <comment ref="F150" authorId="0">
      <text>
        <r>
          <t>Optional, e.g. 8-12.</t>
        </r>
      </text>
    </comment>
    <comment ref="C160" authorId="0">
      <text>
        <r>
          <t>Optional. A section title shown above this exercise in the app, e.g. "Warm-Up" or "Finisher". Leave blank if this exercise continues the section above.</t>
        </r>
      </text>
    </comment>
    <comment ref="E160" authorId="0">
      <text>
        <r>
          <t>Optional notes for the section.</t>
        </r>
      </text>
    </comment>
    <comment ref="C162" authorId="0">
      <text>
        <r>
          <t>Only if the exercise is not in the library. Leave the library box above blank and pick a muscle group to the right.</t>
        </r>
      </text>
    </comment>
    <comment ref="E162" authorId="0">
      <text>
        <r>
          <t>Muscle group — required for a custom exercise.</t>
        </r>
      </text>
    </comment>
    <comment ref="C163" authorId="0">
      <text>
        <r>
          <t>Optional. Give exercises the same letter (A, B, …) to superset them. Paired in the order listed (A1, A2, …).</t>
        </r>
      </text>
    </comment>
    <comment ref="E163" authorId="0">
      <text>
        <r>
          <t>Optional cues for the client: tempo, rest, form.</t>
        </r>
      </text>
    </comment>
    <comment ref="C164" authorId="0">
      <text>
        <r>
          <t>Blank = Regular (or Super Set when a superset letter is set).</t>
        </r>
      </text>
    </comment>
    <comment ref="D164" authorId="0">
      <text>
        <r>
          <t>Optional goal weight. Blank = bodyweight / client chooses.</t>
        </r>
      </text>
    </comment>
    <comment ref="E164" authorId="0">
      <text>
        <r>
          <t>Goal reps for this set. A set row counts once Goal Reps is filled in.</t>
        </r>
      </text>
    </comment>
    <comment ref="F164" authorId="0">
      <text>
        <r>
          <t>Optional, e.g. 8-12.</t>
        </r>
      </text>
    </comment>
    <comment ref="C174" authorId="0">
      <text>
        <r>
          <t>Optional. A section title shown above this exercise in the app, e.g. "Warm-Up" or "Finisher". Leave blank if this exercise continues the section above.</t>
        </r>
      </text>
    </comment>
    <comment ref="E174" authorId="0">
      <text>
        <r>
          <t>Optional notes for the section.</t>
        </r>
      </text>
    </comment>
    <comment ref="C176" authorId="0">
      <text>
        <r>
          <t>Only if the exercise is not in the library. Leave the library box above blank and pick a muscle group to the right.</t>
        </r>
      </text>
    </comment>
    <comment ref="E176" authorId="0">
      <text>
        <r>
          <t>Muscle group — required for a custom exercise.</t>
        </r>
      </text>
    </comment>
    <comment ref="C177" authorId="0">
      <text>
        <r>
          <t>Optional. Give exercises the same letter (A, B, …) to superset them. Paired in the order listed (A1, A2, …).</t>
        </r>
      </text>
    </comment>
    <comment ref="E177" authorId="0">
      <text>
        <r>
          <t>Optional cues for the client: tempo, rest, form.</t>
        </r>
      </text>
    </comment>
    <comment ref="C178" authorId="0">
      <text>
        <r>
          <t>Blank = Regular (or Super Set when a superset letter is set).</t>
        </r>
      </text>
    </comment>
    <comment ref="D178" authorId="0">
      <text>
        <r>
          <t>Optional goal weight. Blank = bodyweight / client chooses.</t>
        </r>
      </text>
    </comment>
    <comment ref="E178" authorId="0">
      <text>
        <r>
          <t>Goal reps for this set. A set row counts once Goal Reps is filled in.</t>
        </r>
      </text>
    </comment>
    <comment ref="F178" authorId="0">
      <text>
        <r>
          <t>Optional, e.g. 8-12.</t>
        </r>
      </text>
    </comment>
    <comment ref="C188" authorId="0">
      <text>
        <r>
          <t>Optional. A section title shown above this exercise in the app, e.g. "Warm-Up" or "Finisher". Leave blank if this exercise continues the section above.</t>
        </r>
      </text>
    </comment>
    <comment ref="E188" authorId="0">
      <text>
        <r>
          <t>Optional notes for the section.</t>
        </r>
      </text>
    </comment>
    <comment ref="C190" authorId="0">
      <text>
        <r>
          <t>Only if the exercise is not in the library. Leave the library box above blank and pick a muscle group to the right.</t>
        </r>
      </text>
    </comment>
    <comment ref="E190" authorId="0">
      <text>
        <r>
          <t>Muscle group — required for a custom exercise.</t>
        </r>
      </text>
    </comment>
    <comment ref="C191" authorId="0">
      <text>
        <r>
          <t>Optional. Give exercises the same letter (A, B, …) to superset them. Paired in the order listed (A1, A2, …).</t>
        </r>
      </text>
    </comment>
    <comment ref="E191" authorId="0">
      <text>
        <r>
          <t>Optional cues for the client: tempo, rest, form.</t>
        </r>
      </text>
    </comment>
    <comment ref="C192" authorId="0">
      <text>
        <r>
          <t>Blank = Regular (or Super Set when a superset letter is set).</t>
        </r>
      </text>
    </comment>
    <comment ref="D192" authorId="0">
      <text>
        <r>
          <t>Optional goal weight. Blank = bodyweight / client chooses.</t>
        </r>
      </text>
    </comment>
    <comment ref="E192" authorId="0">
      <text>
        <r>
          <t>Goal reps for this set. A set row counts once Goal Reps is filled in.</t>
        </r>
      </text>
    </comment>
    <comment ref="F192" authorId="0">
      <text>
        <r>
          <t>Optional, e.g. 8-12.</t>
        </r>
      </text>
    </comment>
    <comment ref="C202" authorId="0">
      <text>
        <r>
          <t>Optional. A section title shown above this exercise in the app, e.g. "Warm-Up" or "Finisher". Leave blank if this exercise continues the section above.</t>
        </r>
      </text>
    </comment>
    <comment ref="E202" authorId="0">
      <text>
        <r>
          <t>Optional notes for the section.</t>
        </r>
      </text>
    </comment>
    <comment ref="C204" authorId="0">
      <text>
        <r>
          <t>Only if the exercise is not in the library. Leave the library box above blank and pick a muscle group to the right.</t>
        </r>
      </text>
    </comment>
    <comment ref="E204" authorId="0">
      <text>
        <r>
          <t>Muscle group — required for a custom exercise.</t>
        </r>
      </text>
    </comment>
    <comment ref="C205" authorId="0">
      <text>
        <r>
          <t>Optional. Give exercises the same letter (A, B, …) to superset them. Paired in the order listed (A1, A2, …).</t>
        </r>
      </text>
    </comment>
    <comment ref="E205" authorId="0">
      <text>
        <r>
          <t>Optional cues for the client: tempo, rest, form.</t>
        </r>
      </text>
    </comment>
    <comment ref="C206" authorId="0">
      <text>
        <r>
          <t>Blank = Regular (or Super Set when a superset letter is set).</t>
        </r>
      </text>
    </comment>
    <comment ref="D206" authorId="0">
      <text>
        <r>
          <t>Optional goal weight. Blank = bodyweight / client chooses.</t>
        </r>
      </text>
    </comment>
    <comment ref="E206" authorId="0">
      <text>
        <r>
          <t>Goal reps for this set. A set row counts once Goal Reps is filled in.</t>
        </r>
      </text>
    </comment>
    <comment ref="F206" authorId="0">
      <text>
        <r>
          <t>Optional, e.g. 8-12.</t>
        </r>
      </text>
    </comment>
  </commentList>
</comments>
</file>

<file path=xl/comments12.xml><?xml version="1.0" encoding="utf-8"?>
<comments xmlns="http://schemas.openxmlformats.org/spreadsheetml/2006/main">
  <authors>
    <author>Author</author>
  </authors>
  <commentList>
    <comment ref="C6" authorId="0">
      <text>
        <r>
          <t>Optional. A section title shown above this exercise in the app, e.g. "Warm-Up" or "Finisher". Leave blank if this exercise continues the section above.</t>
        </r>
      </text>
    </comment>
    <comment ref="E6" authorId="0">
      <text>
        <r>
          <t>Optional notes for the section.</t>
        </r>
      </text>
    </comment>
    <comment ref="C8" authorId="0">
      <text>
        <r>
          <t>Only if the exercise is not in the library. Leave the library box above blank and pick a muscle group to the right.</t>
        </r>
      </text>
    </comment>
    <comment ref="E8" authorId="0">
      <text>
        <r>
          <t>Muscle group — required for a custom exercise.</t>
        </r>
      </text>
    </comment>
    <comment ref="C9" authorId="0">
      <text>
        <r>
          <t>Optional. Give exercises the same letter (A, B, …) to superset them. Paired in the order listed (A1, A2, …).</t>
        </r>
      </text>
    </comment>
    <comment ref="E9" authorId="0">
      <text>
        <r>
          <t>Optional cues for the client: tempo, rest, form.</t>
        </r>
      </text>
    </comment>
    <comment ref="C10" authorId="0">
      <text>
        <r>
          <t>Blank = Regular (or Super Set when a superset letter is set).</t>
        </r>
      </text>
    </comment>
    <comment ref="D10" authorId="0">
      <text>
        <r>
          <t>Optional goal weight. Blank = bodyweight / client chooses.</t>
        </r>
      </text>
    </comment>
    <comment ref="E10" authorId="0">
      <text>
        <r>
          <t>Goal reps for this set. A set row counts once Goal Reps is filled in.</t>
        </r>
      </text>
    </comment>
    <comment ref="F10" authorId="0">
      <text>
        <r>
          <t>Optional, e.g. 8-12.</t>
        </r>
      </text>
    </comment>
    <comment ref="C20" authorId="0">
      <text>
        <r>
          <t>Optional. A section title shown above this exercise in the app, e.g. "Warm-Up" or "Finisher". Leave blank if this exercise continues the section above.</t>
        </r>
      </text>
    </comment>
    <comment ref="E20" authorId="0">
      <text>
        <r>
          <t>Optional notes for the section.</t>
        </r>
      </text>
    </comment>
    <comment ref="C22" authorId="0">
      <text>
        <r>
          <t>Only if the exercise is not in the library. Leave the library box above blank and pick a muscle group to the right.</t>
        </r>
      </text>
    </comment>
    <comment ref="E22" authorId="0">
      <text>
        <r>
          <t>Muscle group — required for a custom exercise.</t>
        </r>
      </text>
    </comment>
    <comment ref="C23" authorId="0">
      <text>
        <r>
          <t>Optional. Give exercises the same letter (A, B, …) to superset them. Paired in the order listed (A1, A2, …).</t>
        </r>
      </text>
    </comment>
    <comment ref="E23" authorId="0">
      <text>
        <r>
          <t>Optional cues for the client: tempo, rest, form.</t>
        </r>
      </text>
    </comment>
    <comment ref="C24" authorId="0">
      <text>
        <r>
          <t>Blank = Regular (or Super Set when a superset letter is set).</t>
        </r>
      </text>
    </comment>
    <comment ref="D24" authorId="0">
      <text>
        <r>
          <t>Optional goal weight. Blank = bodyweight / client chooses.</t>
        </r>
      </text>
    </comment>
    <comment ref="E24" authorId="0">
      <text>
        <r>
          <t>Goal reps for this set. A set row counts once Goal Reps is filled in.</t>
        </r>
      </text>
    </comment>
    <comment ref="F24" authorId="0">
      <text>
        <r>
          <t>Optional, e.g. 8-12.</t>
        </r>
      </text>
    </comment>
    <comment ref="C34" authorId="0">
      <text>
        <r>
          <t>Optional. A section title shown above this exercise in the app, e.g. "Warm-Up" or "Finisher". Leave blank if this exercise continues the section above.</t>
        </r>
      </text>
    </comment>
    <comment ref="E34" authorId="0">
      <text>
        <r>
          <t>Optional notes for the section.</t>
        </r>
      </text>
    </comment>
    <comment ref="C36" authorId="0">
      <text>
        <r>
          <t>Only if the exercise is not in the library. Leave the library box above blank and pick a muscle group to the right.</t>
        </r>
      </text>
    </comment>
    <comment ref="E36" authorId="0">
      <text>
        <r>
          <t>Muscle group — required for a custom exercise.</t>
        </r>
      </text>
    </comment>
    <comment ref="C37" authorId="0">
      <text>
        <r>
          <t>Optional. Give exercises the same letter (A, B, …) to superset them. Paired in the order listed (A1, A2, …).</t>
        </r>
      </text>
    </comment>
    <comment ref="E37" authorId="0">
      <text>
        <r>
          <t>Optional cues for the client: tempo, rest, form.</t>
        </r>
      </text>
    </comment>
    <comment ref="C38" authorId="0">
      <text>
        <r>
          <t>Blank = Regular (or Super Set when a superset letter is set).</t>
        </r>
      </text>
    </comment>
    <comment ref="D38" authorId="0">
      <text>
        <r>
          <t>Optional goal weight. Blank = bodyweight / client chooses.</t>
        </r>
      </text>
    </comment>
    <comment ref="E38" authorId="0">
      <text>
        <r>
          <t>Goal reps for this set. A set row counts once Goal Reps is filled in.</t>
        </r>
      </text>
    </comment>
    <comment ref="F38" authorId="0">
      <text>
        <r>
          <t>Optional, e.g. 8-12.</t>
        </r>
      </text>
    </comment>
    <comment ref="C48" authorId="0">
      <text>
        <r>
          <t>Optional. A section title shown above this exercise in the app, e.g. "Warm-Up" or "Finisher". Leave blank if this exercise continues the section above.</t>
        </r>
      </text>
    </comment>
    <comment ref="E48" authorId="0">
      <text>
        <r>
          <t>Optional notes for the section.</t>
        </r>
      </text>
    </comment>
    <comment ref="C50" authorId="0">
      <text>
        <r>
          <t>Only if the exercise is not in the library. Leave the library box above blank and pick a muscle group to the right.</t>
        </r>
      </text>
    </comment>
    <comment ref="E50" authorId="0">
      <text>
        <r>
          <t>Muscle group — required for a custom exercise.</t>
        </r>
      </text>
    </comment>
    <comment ref="C51" authorId="0">
      <text>
        <r>
          <t>Optional. Give exercises the same letter (A, B, …) to superset them. Paired in the order listed (A1, A2, …).</t>
        </r>
      </text>
    </comment>
    <comment ref="E51" authorId="0">
      <text>
        <r>
          <t>Optional cues for the client: tempo, rest, form.</t>
        </r>
      </text>
    </comment>
    <comment ref="C52" authorId="0">
      <text>
        <r>
          <t>Blank = Regular (or Super Set when a superset letter is set).</t>
        </r>
      </text>
    </comment>
    <comment ref="D52" authorId="0">
      <text>
        <r>
          <t>Optional goal weight. Blank = bodyweight / client chooses.</t>
        </r>
      </text>
    </comment>
    <comment ref="E52" authorId="0">
      <text>
        <r>
          <t>Goal reps for this set. A set row counts once Goal Reps is filled in.</t>
        </r>
      </text>
    </comment>
    <comment ref="F52" authorId="0">
      <text>
        <r>
          <t>Optional, e.g. 8-12.</t>
        </r>
      </text>
    </comment>
    <comment ref="C62" authorId="0">
      <text>
        <r>
          <t>Optional. A section title shown above this exercise in the app, e.g. "Warm-Up" or "Finisher". Leave blank if this exercise continues the section above.</t>
        </r>
      </text>
    </comment>
    <comment ref="E62" authorId="0">
      <text>
        <r>
          <t>Optional notes for the section.</t>
        </r>
      </text>
    </comment>
    <comment ref="C64" authorId="0">
      <text>
        <r>
          <t>Only if the exercise is not in the library. Leave the library box above blank and pick a muscle group to the right.</t>
        </r>
      </text>
    </comment>
    <comment ref="E64" authorId="0">
      <text>
        <r>
          <t>Muscle group — required for a custom exercise.</t>
        </r>
      </text>
    </comment>
    <comment ref="C65" authorId="0">
      <text>
        <r>
          <t>Optional. Give exercises the same letter (A, B, …) to superset them. Paired in the order listed (A1, A2, …).</t>
        </r>
      </text>
    </comment>
    <comment ref="E65" authorId="0">
      <text>
        <r>
          <t>Optional cues for the client: tempo, rest, form.</t>
        </r>
      </text>
    </comment>
    <comment ref="C66" authorId="0">
      <text>
        <r>
          <t>Blank = Regular (or Super Set when a superset letter is set).</t>
        </r>
      </text>
    </comment>
    <comment ref="D66" authorId="0">
      <text>
        <r>
          <t>Optional goal weight. Blank = bodyweight / client chooses.</t>
        </r>
      </text>
    </comment>
    <comment ref="E66" authorId="0">
      <text>
        <r>
          <t>Goal reps for this set. A set row counts once Goal Reps is filled in.</t>
        </r>
      </text>
    </comment>
    <comment ref="F66" authorId="0">
      <text>
        <r>
          <t>Optional, e.g. 8-12.</t>
        </r>
      </text>
    </comment>
    <comment ref="C76" authorId="0">
      <text>
        <r>
          <t>Optional. A section title shown above this exercise in the app, e.g. "Warm-Up" or "Finisher". Leave blank if this exercise continues the section above.</t>
        </r>
      </text>
    </comment>
    <comment ref="E76" authorId="0">
      <text>
        <r>
          <t>Optional notes for the section.</t>
        </r>
      </text>
    </comment>
    <comment ref="C78" authorId="0">
      <text>
        <r>
          <t>Only if the exercise is not in the library. Leave the library box above blank and pick a muscle group to the right.</t>
        </r>
      </text>
    </comment>
    <comment ref="E78" authorId="0">
      <text>
        <r>
          <t>Muscle group — required for a custom exercise.</t>
        </r>
      </text>
    </comment>
    <comment ref="C79" authorId="0">
      <text>
        <r>
          <t>Optional. Give exercises the same letter (A, B, …) to superset them. Paired in the order listed (A1, A2, …).</t>
        </r>
      </text>
    </comment>
    <comment ref="E79" authorId="0">
      <text>
        <r>
          <t>Optional cues for the client: tempo, rest, form.</t>
        </r>
      </text>
    </comment>
    <comment ref="C80" authorId="0">
      <text>
        <r>
          <t>Blank = Regular (or Super Set when a superset letter is set).</t>
        </r>
      </text>
    </comment>
    <comment ref="D80" authorId="0">
      <text>
        <r>
          <t>Optional goal weight. Blank = bodyweight / client chooses.</t>
        </r>
      </text>
    </comment>
    <comment ref="E80" authorId="0">
      <text>
        <r>
          <t>Goal reps for this set. A set row counts once Goal Reps is filled in.</t>
        </r>
      </text>
    </comment>
    <comment ref="F80" authorId="0">
      <text>
        <r>
          <t>Optional, e.g. 8-12.</t>
        </r>
      </text>
    </comment>
    <comment ref="C90" authorId="0">
      <text>
        <r>
          <t>Optional. A section title shown above this exercise in the app, e.g. "Warm-Up" or "Finisher". Leave blank if this exercise continues the section above.</t>
        </r>
      </text>
    </comment>
    <comment ref="E90" authorId="0">
      <text>
        <r>
          <t>Optional notes for the section.</t>
        </r>
      </text>
    </comment>
    <comment ref="C92" authorId="0">
      <text>
        <r>
          <t>Only if the exercise is not in the library. Leave the library box above blank and pick a muscle group to the right.</t>
        </r>
      </text>
    </comment>
    <comment ref="E92" authorId="0">
      <text>
        <r>
          <t>Muscle group — required for a custom exercise.</t>
        </r>
      </text>
    </comment>
    <comment ref="C93" authorId="0">
      <text>
        <r>
          <t>Optional. Give exercises the same letter (A, B, …) to superset them. Paired in the order listed (A1, A2, …).</t>
        </r>
      </text>
    </comment>
    <comment ref="E93" authorId="0">
      <text>
        <r>
          <t>Optional cues for the client: tempo, rest, form.</t>
        </r>
      </text>
    </comment>
    <comment ref="C94" authorId="0">
      <text>
        <r>
          <t>Blank = Regular (or Super Set when a superset letter is set).</t>
        </r>
      </text>
    </comment>
    <comment ref="D94" authorId="0">
      <text>
        <r>
          <t>Optional goal weight. Blank = bodyweight / client chooses.</t>
        </r>
      </text>
    </comment>
    <comment ref="E94" authorId="0">
      <text>
        <r>
          <t>Goal reps for this set. A set row counts once Goal Reps is filled in.</t>
        </r>
      </text>
    </comment>
    <comment ref="F94" authorId="0">
      <text>
        <r>
          <t>Optional, e.g. 8-12.</t>
        </r>
      </text>
    </comment>
    <comment ref="C104" authorId="0">
      <text>
        <r>
          <t>Optional. A section title shown above this exercise in the app, e.g. "Warm-Up" or "Finisher". Leave blank if this exercise continues the section above.</t>
        </r>
      </text>
    </comment>
    <comment ref="E104" authorId="0">
      <text>
        <r>
          <t>Optional notes for the section.</t>
        </r>
      </text>
    </comment>
    <comment ref="C106" authorId="0">
      <text>
        <r>
          <t>Only if the exercise is not in the library. Leave the library box above blank and pick a muscle group to the right.</t>
        </r>
      </text>
    </comment>
    <comment ref="E106" authorId="0">
      <text>
        <r>
          <t>Muscle group — required for a custom exercise.</t>
        </r>
      </text>
    </comment>
    <comment ref="C107" authorId="0">
      <text>
        <r>
          <t>Optional. Give exercises the same letter (A, B, …) to superset them. Paired in the order listed (A1, A2, …).</t>
        </r>
      </text>
    </comment>
    <comment ref="E107" authorId="0">
      <text>
        <r>
          <t>Optional cues for the client: tempo, rest, form.</t>
        </r>
      </text>
    </comment>
    <comment ref="C108" authorId="0">
      <text>
        <r>
          <t>Blank = Regular (or Super Set when a superset letter is set).</t>
        </r>
      </text>
    </comment>
    <comment ref="D108" authorId="0">
      <text>
        <r>
          <t>Optional goal weight. Blank = bodyweight / client chooses.</t>
        </r>
      </text>
    </comment>
    <comment ref="E108" authorId="0">
      <text>
        <r>
          <t>Goal reps for this set. A set row counts once Goal Reps is filled in.</t>
        </r>
      </text>
    </comment>
    <comment ref="F108" authorId="0">
      <text>
        <r>
          <t>Optional, e.g. 8-12.</t>
        </r>
      </text>
    </comment>
    <comment ref="C118" authorId="0">
      <text>
        <r>
          <t>Optional. A section title shown above this exercise in the app, e.g. "Warm-Up" or "Finisher". Leave blank if this exercise continues the section above.</t>
        </r>
      </text>
    </comment>
    <comment ref="E118" authorId="0">
      <text>
        <r>
          <t>Optional notes for the section.</t>
        </r>
      </text>
    </comment>
    <comment ref="C120" authorId="0">
      <text>
        <r>
          <t>Only if the exercise is not in the library. Leave the library box above blank and pick a muscle group to the right.</t>
        </r>
      </text>
    </comment>
    <comment ref="E120" authorId="0">
      <text>
        <r>
          <t>Muscle group — required for a custom exercise.</t>
        </r>
      </text>
    </comment>
    <comment ref="C121" authorId="0">
      <text>
        <r>
          <t>Optional. Give exercises the same letter (A, B, …) to superset them. Paired in the order listed (A1, A2, …).</t>
        </r>
      </text>
    </comment>
    <comment ref="E121" authorId="0">
      <text>
        <r>
          <t>Optional cues for the client: tempo, rest, form.</t>
        </r>
      </text>
    </comment>
    <comment ref="C122" authorId="0">
      <text>
        <r>
          <t>Blank = Regular (or Super Set when a superset letter is set).</t>
        </r>
      </text>
    </comment>
    <comment ref="D122" authorId="0">
      <text>
        <r>
          <t>Optional goal weight. Blank = bodyweight / client chooses.</t>
        </r>
      </text>
    </comment>
    <comment ref="E122" authorId="0">
      <text>
        <r>
          <t>Goal reps for this set. A set row counts once Goal Reps is filled in.</t>
        </r>
      </text>
    </comment>
    <comment ref="F122" authorId="0">
      <text>
        <r>
          <t>Optional, e.g. 8-12.</t>
        </r>
      </text>
    </comment>
    <comment ref="C132" authorId="0">
      <text>
        <r>
          <t>Optional. A section title shown above this exercise in the app, e.g. "Warm-Up" or "Finisher". Leave blank if this exercise continues the section above.</t>
        </r>
      </text>
    </comment>
    <comment ref="E132" authorId="0">
      <text>
        <r>
          <t>Optional notes for the section.</t>
        </r>
      </text>
    </comment>
    <comment ref="C134" authorId="0">
      <text>
        <r>
          <t>Only if the exercise is not in the library. Leave the library box above blank and pick a muscle group to the right.</t>
        </r>
      </text>
    </comment>
    <comment ref="E134" authorId="0">
      <text>
        <r>
          <t>Muscle group — required for a custom exercise.</t>
        </r>
      </text>
    </comment>
    <comment ref="C135" authorId="0">
      <text>
        <r>
          <t>Optional. Give exercises the same letter (A, B, …) to superset them. Paired in the order listed (A1, A2, …).</t>
        </r>
      </text>
    </comment>
    <comment ref="E135" authorId="0">
      <text>
        <r>
          <t>Optional cues for the client: tempo, rest, form.</t>
        </r>
      </text>
    </comment>
    <comment ref="C136" authorId="0">
      <text>
        <r>
          <t>Blank = Regular (or Super Set when a superset letter is set).</t>
        </r>
      </text>
    </comment>
    <comment ref="D136" authorId="0">
      <text>
        <r>
          <t>Optional goal weight. Blank = bodyweight / client chooses.</t>
        </r>
      </text>
    </comment>
    <comment ref="E136" authorId="0">
      <text>
        <r>
          <t>Goal reps for this set. A set row counts once Goal Reps is filled in.</t>
        </r>
      </text>
    </comment>
    <comment ref="F136" authorId="0">
      <text>
        <r>
          <t>Optional, e.g. 8-12.</t>
        </r>
      </text>
    </comment>
    <comment ref="C146" authorId="0">
      <text>
        <r>
          <t>Optional. A section title shown above this exercise in the app, e.g. "Warm-Up" or "Finisher". Leave blank if this exercise continues the section above.</t>
        </r>
      </text>
    </comment>
    <comment ref="E146" authorId="0">
      <text>
        <r>
          <t>Optional notes for the section.</t>
        </r>
      </text>
    </comment>
    <comment ref="C148" authorId="0">
      <text>
        <r>
          <t>Only if the exercise is not in the library. Leave the library box above blank and pick a muscle group to the right.</t>
        </r>
      </text>
    </comment>
    <comment ref="E148" authorId="0">
      <text>
        <r>
          <t>Muscle group — required for a custom exercise.</t>
        </r>
      </text>
    </comment>
    <comment ref="C149" authorId="0">
      <text>
        <r>
          <t>Optional. Give exercises the same letter (A, B, …) to superset them. Paired in the order listed (A1, A2, …).</t>
        </r>
      </text>
    </comment>
    <comment ref="E149" authorId="0">
      <text>
        <r>
          <t>Optional cues for the client: tempo, rest, form.</t>
        </r>
      </text>
    </comment>
    <comment ref="C150" authorId="0">
      <text>
        <r>
          <t>Blank = Regular (or Super Set when a superset letter is set).</t>
        </r>
      </text>
    </comment>
    <comment ref="D150" authorId="0">
      <text>
        <r>
          <t>Optional goal weight. Blank = bodyweight / client chooses.</t>
        </r>
      </text>
    </comment>
    <comment ref="E150" authorId="0">
      <text>
        <r>
          <t>Goal reps for this set. A set row counts once Goal Reps is filled in.</t>
        </r>
      </text>
    </comment>
    <comment ref="F150" authorId="0">
      <text>
        <r>
          <t>Optional, e.g. 8-12.</t>
        </r>
      </text>
    </comment>
    <comment ref="C160" authorId="0">
      <text>
        <r>
          <t>Optional. A section title shown above this exercise in the app, e.g. "Warm-Up" or "Finisher". Leave blank if this exercise continues the section above.</t>
        </r>
      </text>
    </comment>
    <comment ref="E160" authorId="0">
      <text>
        <r>
          <t>Optional notes for the section.</t>
        </r>
      </text>
    </comment>
    <comment ref="C162" authorId="0">
      <text>
        <r>
          <t>Only if the exercise is not in the library. Leave the library box above blank and pick a muscle group to the right.</t>
        </r>
      </text>
    </comment>
    <comment ref="E162" authorId="0">
      <text>
        <r>
          <t>Muscle group — required for a custom exercise.</t>
        </r>
      </text>
    </comment>
    <comment ref="C163" authorId="0">
      <text>
        <r>
          <t>Optional. Give exercises the same letter (A, B, …) to superset them. Paired in the order listed (A1, A2, …).</t>
        </r>
      </text>
    </comment>
    <comment ref="E163" authorId="0">
      <text>
        <r>
          <t>Optional cues for the client: tempo, rest, form.</t>
        </r>
      </text>
    </comment>
    <comment ref="C164" authorId="0">
      <text>
        <r>
          <t>Blank = Regular (or Super Set when a superset letter is set).</t>
        </r>
      </text>
    </comment>
    <comment ref="D164" authorId="0">
      <text>
        <r>
          <t>Optional goal weight. Blank = bodyweight / client chooses.</t>
        </r>
      </text>
    </comment>
    <comment ref="E164" authorId="0">
      <text>
        <r>
          <t>Goal reps for this set. A set row counts once Goal Reps is filled in.</t>
        </r>
      </text>
    </comment>
    <comment ref="F164" authorId="0">
      <text>
        <r>
          <t>Optional, e.g. 8-12.</t>
        </r>
      </text>
    </comment>
    <comment ref="C174" authorId="0">
      <text>
        <r>
          <t>Optional. A section title shown above this exercise in the app, e.g. "Warm-Up" or "Finisher". Leave blank if this exercise continues the section above.</t>
        </r>
      </text>
    </comment>
    <comment ref="E174" authorId="0">
      <text>
        <r>
          <t>Optional notes for the section.</t>
        </r>
      </text>
    </comment>
    <comment ref="C176" authorId="0">
      <text>
        <r>
          <t>Only if the exercise is not in the library. Leave the library box above blank and pick a muscle group to the right.</t>
        </r>
      </text>
    </comment>
    <comment ref="E176" authorId="0">
      <text>
        <r>
          <t>Muscle group — required for a custom exercise.</t>
        </r>
      </text>
    </comment>
    <comment ref="C177" authorId="0">
      <text>
        <r>
          <t>Optional. Give exercises the same letter (A, B, …) to superset them. Paired in the order listed (A1, A2, …).</t>
        </r>
      </text>
    </comment>
    <comment ref="E177" authorId="0">
      <text>
        <r>
          <t>Optional cues for the client: tempo, rest, form.</t>
        </r>
      </text>
    </comment>
    <comment ref="C178" authorId="0">
      <text>
        <r>
          <t>Blank = Regular (or Super Set when a superset letter is set).</t>
        </r>
      </text>
    </comment>
    <comment ref="D178" authorId="0">
      <text>
        <r>
          <t>Optional goal weight. Blank = bodyweight / client chooses.</t>
        </r>
      </text>
    </comment>
    <comment ref="E178" authorId="0">
      <text>
        <r>
          <t>Goal reps for this set. A set row counts once Goal Reps is filled in.</t>
        </r>
      </text>
    </comment>
    <comment ref="F178" authorId="0">
      <text>
        <r>
          <t>Optional, e.g. 8-12.</t>
        </r>
      </text>
    </comment>
    <comment ref="C188" authorId="0">
      <text>
        <r>
          <t>Optional. A section title shown above this exercise in the app, e.g. "Warm-Up" or "Finisher". Leave blank if this exercise continues the section above.</t>
        </r>
      </text>
    </comment>
    <comment ref="E188" authorId="0">
      <text>
        <r>
          <t>Optional notes for the section.</t>
        </r>
      </text>
    </comment>
    <comment ref="C190" authorId="0">
      <text>
        <r>
          <t>Only if the exercise is not in the library. Leave the library box above blank and pick a muscle group to the right.</t>
        </r>
      </text>
    </comment>
    <comment ref="E190" authorId="0">
      <text>
        <r>
          <t>Muscle group — required for a custom exercise.</t>
        </r>
      </text>
    </comment>
    <comment ref="C191" authorId="0">
      <text>
        <r>
          <t>Optional. Give exercises the same letter (A, B, …) to superset them. Paired in the order listed (A1, A2, …).</t>
        </r>
      </text>
    </comment>
    <comment ref="E191" authorId="0">
      <text>
        <r>
          <t>Optional cues for the client: tempo, rest, form.</t>
        </r>
      </text>
    </comment>
    <comment ref="C192" authorId="0">
      <text>
        <r>
          <t>Blank = Regular (or Super Set when a superset letter is set).</t>
        </r>
      </text>
    </comment>
    <comment ref="D192" authorId="0">
      <text>
        <r>
          <t>Optional goal weight. Blank = bodyweight / client chooses.</t>
        </r>
      </text>
    </comment>
    <comment ref="E192" authorId="0">
      <text>
        <r>
          <t>Goal reps for this set. A set row counts once Goal Reps is filled in.</t>
        </r>
      </text>
    </comment>
    <comment ref="F192" authorId="0">
      <text>
        <r>
          <t>Optional, e.g. 8-12.</t>
        </r>
      </text>
    </comment>
    <comment ref="C202" authorId="0">
      <text>
        <r>
          <t>Optional. A section title shown above this exercise in the app, e.g. "Warm-Up" or "Finisher". Leave blank if this exercise continues the section above.</t>
        </r>
      </text>
    </comment>
    <comment ref="E202" authorId="0">
      <text>
        <r>
          <t>Optional notes for the section.</t>
        </r>
      </text>
    </comment>
    <comment ref="C204" authorId="0">
      <text>
        <r>
          <t>Only if the exercise is not in the library. Leave the library box above blank and pick a muscle group to the right.</t>
        </r>
      </text>
    </comment>
    <comment ref="E204" authorId="0">
      <text>
        <r>
          <t>Muscle group — required for a custom exercise.</t>
        </r>
      </text>
    </comment>
    <comment ref="C205" authorId="0">
      <text>
        <r>
          <t>Optional. Give exercises the same letter (A, B, …) to superset them. Paired in the order listed (A1, A2, …).</t>
        </r>
      </text>
    </comment>
    <comment ref="E205" authorId="0">
      <text>
        <r>
          <t>Optional cues for the client: tempo, rest, form.</t>
        </r>
      </text>
    </comment>
    <comment ref="C206" authorId="0">
      <text>
        <r>
          <t>Blank = Regular (or Super Set when a superset letter is set).</t>
        </r>
      </text>
    </comment>
    <comment ref="D206" authorId="0">
      <text>
        <r>
          <t>Optional goal weight. Blank = bodyweight / client chooses.</t>
        </r>
      </text>
    </comment>
    <comment ref="E206" authorId="0">
      <text>
        <r>
          <t>Goal reps for this set. A set row counts once Goal Reps is filled in.</t>
        </r>
      </text>
    </comment>
    <comment ref="F206" authorId="0">
      <text>
        <r>
          <t>Optional, e.g. 8-12.</t>
        </r>
      </text>
    </comment>
  </commentList>
</comments>
</file>

<file path=xl/comments13.xml><?xml version="1.0" encoding="utf-8"?>
<comments xmlns="http://schemas.openxmlformats.org/spreadsheetml/2006/main">
  <authors>
    <author>Author</author>
  </authors>
  <commentList>
    <comment ref="C6" authorId="0">
      <text>
        <r>
          <t>Optional. A section title shown above this exercise in the app, e.g. "Warm-Up" or "Finisher". Leave blank if this exercise continues the section above.</t>
        </r>
      </text>
    </comment>
    <comment ref="E6" authorId="0">
      <text>
        <r>
          <t>Optional notes for the section.</t>
        </r>
      </text>
    </comment>
    <comment ref="C8" authorId="0">
      <text>
        <r>
          <t>Only if the exercise is not in the library. Leave the library box above blank and pick a muscle group to the right.</t>
        </r>
      </text>
    </comment>
    <comment ref="E8" authorId="0">
      <text>
        <r>
          <t>Muscle group — required for a custom exercise.</t>
        </r>
      </text>
    </comment>
    <comment ref="C9" authorId="0">
      <text>
        <r>
          <t>Optional. Give exercises the same letter (A, B, …) to superset them. Paired in the order listed (A1, A2, …).</t>
        </r>
      </text>
    </comment>
    <comment ref="E9" authorId="0">
      <text>
        <r>
          <t>Optional cues for the client: tempo, rest, form.</t>
        </r>
      </text>
    </comment>
    <comment ref="C10" authorId="0">
      <text>
        <r>
          <t>Blank = Regular (or Super Set when a superset letter is set).</t>
        </r>
      </text>
    </comment>
    <comment ref="D10" authorId="0">
      <text>
        <r>
          <t>Optional goal weight. Blank = bodyweight / client chooses.</t>
        </r>
      </text>
    </comment>
    <comment ref="E10" authorId="0">
      <text>
        <r>
          <t>Goal reps for this set. A set row counts once Goal Reps is filled in.</t>
        </r>
      </text>
    </comment>
    <comment ref="F10" authorId="0">
      <text>
        <r>
          <t>Optional, e.g. 8-12.</t>
        </r>
      </text>
    </comment>
    <comment ref="C20" authorId="0">
      <text>
        <r>
          <t>Optional. A section title shown above this exercise in the app, e.g. "Warm-Up" or "Finisher". Leave blank if this exercise continues the section above.</t>
        </r>
      </text>
    </comment>
    <comment ref="E20" authorId="0">
      <text>
        <r>
          <t>Optional notes for the section.</t>
        </r>
      </text>
    </comment>
    <comment ref="C22" authorId="0">
      <text>
        <r>
          <t>Only if the exercise is not in the library. Leave the library box above blank and pick a muscle group to the right.</t>
        </r>
      </text>
    </comment>
    <comment ref="E22" authorId="0">
      <text>
        <r>
          <t>Muscle group — required for a custom exercise.</t>
        </r>
      </text>
    </comment>
    <comment ref="C23" authorId="0">
      <text>
        <r>
          <t>Optional. Give exercises the same letter (A, B, …) to superset them. Paired in the order listed (A1, A2, …).</t>
        </r>
      </text>
    </comment>
    <comment ref="E23" authorId="0">
      <text>
        <r>
          <t>Optional cues for the client: tempo, rest, form.</t>
        </r>
      </text>
    </comment>
    <comment ref="C24" authorId="0">
      <text>
        <r>
          <t>Blank = Regular (or Super Set when a superset letter is set).</t>
        </r>
      </text>
    </comment>
    <comment ref="D24" authorId="0">
      <text>
        <r>
          <t>Optional goal weight. Blank = bodyweight / client chooses.</t>
        </r>
      </text>
    </comment>
    <comment ref="E24" authorId="0">
      <text>
        <r>
          <t>Goal reps for this set. A set row counts once Goal Reps is filled in.</t>
        </r>
      </text>
    </comment>
    <comment ref="F24" authorId="0">
      <text>
        <r>
          <t>Optional, e.g. 8-12.</t>
        </r>
      </text>
    </comment>
    <comment ref="C34" authorId="0">
      <text>
        <r>
          <t>Optional. A section title shown above this exercise in the app, e.g. "Warm-Up" or "Finisher". Leave blank if this exercise continues the section above.</t>
        </r>
      </text>
    </comment>
    <comment ref="E34" authorId="0">
      <text>
        <r>
          <t>Optional notes for the section.</t>
        </r>
      </text>
    </comment>
    <comment ref="C36" authorId="0">
      <text>
        <r>
          <t>Only if the exercise is not in the library. Leave the library box above blank and pick a muscle group to the right.</t>
        </r>
      </text>
    </comment>
    <comment ref="E36" authorId="0">
      <text>
        <r>
          <t>Muscle group — required for a custom exercise.</t>
        </r>
      </text>
    </comment>
    <comment ref="C37" authorId="0">
      <text>
        <r>
          <t>Optional. Give exercises the same letter (A, B, …) to superset them. Paired in the order listed (A1, A2, …).</t>
        </r>
      </text>
    </comment>
    <comment ref="E37" authorId="0">
      <text>
        <r>
          <t>Optional cues for the client: tempo, rest, form.</t>
        </r>
      </text>
    </comment>
    <comment ref="C38" authorId="0">
      <text>
        <r>
          <t>Blank = Regular (or Super Set when a superset letter is set).</t>
        </r>
      </text>
    </comment>
    <comment ref="D38" authorId="0">
      <text>
        <r>
          <t>Optional goal weight. Blank = bodyweight / client chooses.</t>
        </r>
      </text>
    </comment>
    <comment ref="E38" authorId="0">
      <text>
        <r>
          <t>Goal reps for this set. A set row counts once Goal Reps is filled in.</t>
        </r>
      </text>
    </comment>
    <comment ref="F38" authorId="0">
      <text>
        <r>
          <t>Optional, e.g. 8-12.</t>
        </r>
      </text>
    </comment>
    <comment ref="C48" authorId="0">
      <text>
        <r>
          <t>Optional. A section title shown above this exercise in the app, e.g. "Warm-Up" or "Finisher". Leave blank if this exercise continues the section above.</t>
        </r>
      </text>
    </comment>
    <comment ref="E48" authorId="0">
      <text>
        <r>
          <t>Optional notes for the section.</t>
        </r>
      </text>
    </comment>
    <comment ref="C50" authorId="0">
      <text>
        <r>
          <t>Only if the exercise is not in the library. Leave the library box above blank and pick a muscle group to the right.</t>
        </r>
      </text>
    </comment>
    <comment ref="E50" authorId="0">
      <text>
        <r>
          <t>Muscle group — required for a custom exercise.</t>
        </r>
      </text>
    </comment>
    <comment ref="C51" authorId="0">
      <text>
        <r>
          <t>Optional. Give exercises the same letter (A, B, …) to superset them. Paired in the order listed (A1, A2, …).</t>
        </r>
      </text>
    </comment>
    <comment ref="E51" authorId="0">
      <text>
        <r>
          <t>Optional cues for the client: tempo, rest, form.</t>
        </r>
      </text>
    </comment>
    <comment ref="C52" authorId="0">
      <text>
        <r>
          <t>Blank = Regular (or Super Set when a superset letter is set).</t>
        </r>
      </text>
    </comment>
    <comment ref="D52" authorId="0">
      <text>
        <r>
          <t>Optional goal weight. Blank = bodyweight / client chooses.</t>
        </r>
      </text>
    </comment>
    <comment ref="E52" authorId="0">
      <text>
        <r>
          <t>Goal reps for this set. A set row counts once Goal Reps is filled in.</t>
        </r>
      </text>
    </comment>
    <comment ref="F52" authorId="0">
      <text>
        <r>
          <t>Optional, e.g. 8-12.</t>
        </r>
      </text>
    </comment>
    <comment ref="C62" authorId="0">
      <text>
        <r>
          <t>Optional. A section title shown above this exercise in the app, e.g. "Warm-Up" or "Finisher". Leave blank if this exercise continues the section above.</t>
        </r>
      </text>
    </comment>
    <comment ref="E62" authorId="0">
      <text>
        <r>
          <t>Optional notes for the section.</t>
        </r>
      </text>
    </comment>
    <comment ref="C64" authorId="0">
      <text>
        <r>
          <t>Only if the exercise is not in the library. Leave the library box above blank and pick a muscle group to the right.</t>
        </r>
      </text>
    </comment>
    <comment ref="E64" authorId="0">
      <text>
        <r>
          <t>Muscle group — required for a custom exercise.</t>
        </r>
      </text>
    </comment>
    <comment ref="C65" authorId="0">
      <text>
        <r>
          <t>Optional. Give exercises the same letter (A, B, …) to superset them. Paired in the order listed (A1, A2, …).</t>
        </r>
      </text>
    </comment>
    <comment ref="E65" authorId="0">
      <text>
        <r>
          <t>Optional cues for the client: tempo, rest, form.</t>
        </r>
      </text>
    </comment>
    <comment ref="C66" authorId="0">
      <text>
        <r>
          <t>Blank = Regular (or Super Set when a superset letter is set).</t>
        </r>
      </text>
    </comment>
    <comment ref="D66" authorId="0">
      <text>
        <r>
          <t>Optional goal weight. Blank = bodyweight / client chooses.</t>
        </r>
      </text>
    </comment>
    <comment ref="E66" authorId="0">
      <text>
        <r>
          <t>Goal reps for this set. A set row counts once Goal Reps is filled in.</t>
        </r>
      </text>
    </comment>
    <comment ref="F66" authorId="0">
      <text>
        <r>
          <t>Optional, e.g. 8-12.</t>
        </r>
      </text>
    </comment>
    <comment ref="C76" authorId="0">
      <text>
        <r>
          <t>Optional. A section title shown above this exercise in the app, e.g. "Warm-Up" or "Finisher". Leave blank if this exercise continues the section above.</t>
        </r>
      </text>
    </comment>
    <comment ref="E76" authorId="0">
      <text>
        <r>
          <t>Optional notes for the section.</t>
        </r>
      </text>
    </comment>
    <comment ref="C78" authorId="0">
      <text>
        <r>
          <t>Only if the exercise is not in the library. Leave the library box above blank and pick a muscle group to the right.</t>
        </r>
      </text>
    </comment>
    <comment ref="E78" authorId="0">
      <text>
        <r>
          <t>Muscle group — required for a custom exercise.</t>
        </r>
      </text>
    </comment>
    <comment ref="C79" authorId="0">
      <text>
        <r>
          <t>Optional. Give exercises the same letter (A, B, …) to superset them. Paired in the order listed (A1, A2, …).</t>
        </r>
      </text>
    </comment>
    <comment ref="E79" authorId="0">
      <text>
        <r>
          <t>Optional cues for the client: tempo, rest, form.</t>
        </r>
      </text>
    </comment>
    <comment ref="C80" authorId="0">
      <text>
        <r>
          <t>Blank = Regular (or Super Set when a superset letter is set).</t>
        </r>
      </text>
    </comment>
    <comment ref="D80" authorId="0">
      <text>
        <r>
          <t>Optional goal weight. Blank = bodyweight / client chooses.</t>
        </r>
      </text>
    </comment>
    <comment ref="E80" authorId="0">
      <text>
        <r>
          <t>Goal reps for this set. A set row counts once Goal Reps is filled in.</t>
        </r>
      </text>
    </comment>
    <comment ref="F80" authorId="0">
      <text>
        <r>
          <t>Optional, e.g. 8-12.</t>
        </r>
      </text>
    </comment>
    <comment ref="C90" authorId="0">
      <text>
        <r>
          <t>Optional. A section title shown above this exercise in the app, e.g. "Warm-Up" or "Finisher". Leave blank if this exercise continues the section above.</t>
        </r>
      </text>
    </comment>
    <comment ref="E90" authorId="0">
      <text>
        <r>
          <t>Optional notes for the section.</t>
        </r>
      </text>
    </comment>
    <comment ref="C92" authorId="0">
      <text>
        <r>
          <t>Only if the exercise is not in the library. Leave the library box above blank and pick a muscle group to the right.</t>
        </r>
      </text>
    </comment>
    <comment ref="E92" authorId="0">
      <text>
        <r>
          <t>Muscle group — required for a custom exercise.</t>
        </r>
      </text>
    </comment>
    <comment ref="C93" authorId="0">
      <text>
        <r>
          <t>Optional. Give exercises the same letter (A, B, …) to superset them. Paired in the order listed (A1, A2, …).</t>
        </r>
      </text>
    </comment>
    <comment ref="E93" authorId="0">
      <text>
        <r>
          <t>Optional cues for the client: tempo, rest, form.</t>
        </r>
      </text>
    </comment>
    <comment ref="C94" authorId="0">
      <text>
        <r>
          <t>Blank = Regular (or Super Set when a superset letter is set).</t>
        </r>
      </text>
    </comment>
    <comment ref="D94" authorId="0">
      <text>
        <r>
          <t>Optional goal weight. Blank = bodyweight / client chooses.</t>
        </r>
      </text>
    </comment>
    <comment ref="E94" authorId="0">
      <text>
        <r>
          <t>Goal reps for this set. A set row counts once Goal Reps is filled in.</t>
        </r>
      </text>
    </comment>
    <comment ref="F94" authorId="0">
      <text>
        <r>
          <t>Optional, e.g. 8-12.</t>
        </r>
      </text>
    </comment>
    <comment ref="C104" authorId="0">
      <text>
        <r>
          <t>Optional. A section title shown above this exercise in the app, e.g. "Warm-Up" or "Finisher". Leave blank if this exercise continues the section above.</t>
        </r>
      </text>
    </comment>
    <comment ref="E104" authorId="0">
      <text>
        <r>
          <t>Optional notes for the section.</t>
        </r>
      </text>
    </comment>
    <comment ref="C106" authorId="0">
      <text>
        <r>
          <t>Only if the exercise is not in the library. Leave the library box above blank and pick a muscle group to the right.</t>
        </r>
      </text>
    </comment>
    <comment ref="E106" authorId="0">
      <text>
        <r>
          <t>Muscle group — required for a custom exercise.</t>
        </r>
      </text>
    </comment>
    <comment ref="C107" authorId="0">
      <text>
        <r>
          <t>Optional. Give exercises the same letter (A, B, …) to superset them. Paired in the order listed (A1, A2, …).</t>
        </r>
      </text>
    </comment>
    <comment ref="E107" authorId="0">
      <text>
        <r>
          <t>Optional cues for the client: tempo, rest, form.</t>
        </r>
      </text>
    </comment>
    <comment ref="C108" authorId="0">
      <text>
        <r>
          <t>Blank = Regular (or Super Set when a superset letter is set).</t>
        </r>
      </text>
    </comment>
    <comment ref="D108" authorId="0">
      <text>
        <r>
          <t>Optional goal weight. Blank = bodyweight / client chooses.</t>
        </r>
      </text>
    </comment>
    <comment ref="E108" authorId="0">
      <text>
        <r>
          <t>Goal reps for this set. A set row counts once Goal Reps is filled in.</t>
        </r>
      </text>
    </comment>
    <comment ref="F108" authorId="0">
      <text>
        <r>
          <t>Optional, e.g. 8-12.</t>
        </r>
      </text>
    </comment>
    <comment ref="C118" authorId="0">
      <text>
        <r>
          <t>Optional. A section title shown above this exercise in the app, e.g. "Warm-Up" or "Finisher". Leave blank if this exercise continues the section above.</t>
        </r>
      </text>
    </comment>
    <comment ref="E118" authorId="0">
      <text>
        <r>
          <t>Optional notes for the section.</t>
        </r>
      </text>
    </comment>
    <comment ref="C120" authorId="0">
      <text>
        <r>
          <t>Only if the exercise is not in the library. Leave the library box above blank and pick a muscle group to the right.</t>
        </r>
      </text>
    </comment>
    <comment ref="E120" authorId="0">
      <text>
        <r>
          <t>Muscle group — required for a custom exercise.</t>
        </r>
      </text>
    </comment>
    <comment ref="C121" authorId="0">
      <text>
        <r>
          <t>Optional. Give exercises the same letter (A, B, …) to superset them. Paired in the order listed (A1, A2, …).</t>
        </r>
      </text>
    </comment>
    <comment ref="E121" authorId="0">
      <text>
        <r>
          <t>Optional cues for the client: tempo, rest, form.</t>
        </r>
      </text>
    </comment>
    <comment ref="C122" authorId="0">
      <text>
        <r>
          <t>Blank = Regular (or Super Set when a superset letter is set).</t>
        </r>
      </text>
    </comment>
    <comment ref="D122" authorId="0">
      <text>
        <r>
          <t>Optional goal weight. Blank = bodyweight / client chooses.</t>
        </r>
      </text>
    </comment>
    <comment ref="E122" authorId="0">
      <text>
        <r>
          <t>Goal reps for this set. A set row counts once Goal Reps is filled in.</t>
        </r>
      </text>
    </comment>
    <comment ref="F122" authorId="0">
      <text>
        <r>
          <t>Optional, e.g. 8-12.</t>
        </r>
      </text>
    </comment>
    <comment ref="C132" authorId="0">
      <text>
        <r>
          <t>Optional. A section title shown above this exercise in the app, e.g. "Warm-Up" or "Finisher". Leave blank if this exercise continues the section above.</t>
        </r>
      </text>
    </comment>
    <comment ref="E132" authorId="0">
      <text>
        <r>
          <t>Optional notes for the section.</t>
        </r>
      </text>
    </comment>
    <comment ref="C134" authorId="0">
      <text>
        <r>
          <t>Only if the exercise is not in the library. Leave the library box above blank and pick a muscle group to the right.</t>
        </r>
      </text>
    </comment>
    <comment ref="E134" authorId="0">
      <text>
        <r>
          <t>Muscle group — required for a custom exercise.</t>
        </r>
      </text>
    </comment>
    <comment ref="C135" authorId="0">
      <text>
        <r>
          <t>Optional. Give exercises the same letter (A, B, …) to superset them. Paired in the order listed (A1, A2, …).</t>
        </r>
      </text>
    </comment>
    <comment ref="E135" authorId="0">
      <text>
        <r>
          <t>Optional cues for the client: tempo, rest, form.</t>
        </r>
      </text>
    </comment>
    <comment ref="C136" authorId="0">
      <text>
        <r>
          <t>Blank = Regular (or Super Set when a superset letter is set).</t>
        </r>
      </text>
    </comment>
    <comment ref="D136" authorId="0">
      <text>
        <r>
          <t>Optional goal weight. Blank = bodyweight / client chooses.</t>
        </r>
      </text>
    </comment>
    <comment ref="E136" authorId="0">
      <text>
        <r>
          <t>Goal reps for this set. A set row counts once Goal Reps is filled in.</t>
        </r>
      </text>
    </comment>
    <comment ref="F136" authorId="0">
      <text>
        <r>
          <t>Optional, e.g. 8-12.</t>
        </r>
      </text>
    </comment>
    <comment ref="C146" authorId="0">
      <text>
        <r>
          <t>Optional. A section title shown above this exercise in the app, e.g. "Warm-Up" or "Finisher". Leave blank if this exercise continues the section above.</t>
        </r>
      </text>
    </comment>
    <comment ref="E146" authorId="0">
      <text>
        <r>
          <t>Optional notes for the section.</t>
        </r>
      </text>
    </comment>
    <comment ref="C148" authorId="0">
      <text>
        <r>
          <t>Only if the exercise is not in the library. Leave the library box above blank and pick a muscle group to the right.</t>
        </r>
      </text>
    </comment>
    <comment ref="E148" authorId="0">
      <text>
        <r>
          <t>Muscle group — required for a custom exercise.</t>
        </r>
      </text>
    </comment>
    <comment ref="C149" authorId="0">
      <text>
        <r>
          <t>Optional. Give exercises the same letter (A, B, …) to superset them. Paired in the order listed (A1, A2, …).</t>
        </r>
      </text>
    </comment>
    <comment ref="E149" authorId="0">
      <text>
        <r>
          <t>Optional cues for the client: tempo, rest, form.</t>
        </r>
      </text>
    </comment>
    <comment ref="C150" authorId="0">
      <text>
        <r>
          <t>Blank = Regular (or Super Set when a superset letter is set).</t>
        </r>
      </text>
    </comment>
    <comment ref="D150" authorId="0">
      <text>
        <r>
          <t>Optional goal weight. Blank = bodyweight / client chooses.</t>
        </r>
      </text>
    </comment>
    <comment ref="E150" authorId="0">
      <text>
        <r>
          <t>Goal reps for this set. A set row counts once Goal Reps is filled in.</t>
        </r>
      </text>
    </comment>
    <comment ref="F150" authorId="0">
      <text>
        <r>
          <t>Optional, e.g. 8-12.</t>
        </r>
      </text>
    </comment>
    <comment ref="C160" authorId="0">
      <text>
        <r>
          <t>Optional. A section title shown above this exercise in the app, e.g. "Warm-Up" or "Finisher". Leave blank if this exercise continues the section above.</t>
        </r>
      </text>
    </comment>
    <comment ref="E160" authorId="0">
      <text>
        <r>
          <t>Optional notes for the section.</t>
        </r>
      </text>
    </comment>
    <comment ref="C162" authorId="0">
      <text>
        <r>
          <t>Only if the exercise is not in the library. Leave the library box above blank and pick a muscle group to the right.</t>
        </r>
      </text>
    </comment>
    <comment ref="E162" authorId="0">
      <text>
        <r>
          <t>Muscle group — required for a custom exercise.</t>
        </r>
      </text>
    </comment>
    <comment ref="C163" authorId="0">
      <text>
        <r>
          <t>Optional. Give exercises the same letter (A, B, …) to superset them. Paired in the order listed (A1, A2, …).</t>
        </r>
      </text>
    </comment>
    <comment ref="E163" authorId="0">
      <text>
        <r>
          <t>Optional cues for the client: tempo, rest, form.</t>
        </r>
      </text>
    </comment>
    <comment ref="C164" authorId="0">
      <text>
        <r>
          <t>Blank = Regular (or Super Set when a superset letter is set).</t>
        </r>
      </text>
    </comment>
    <comment ref="D164" authorId="0">
      <text>
        <r>
          <t>Optional goal weight. Blank = bodyweight / client chooses.</t>
        </r>
      </text>
    </comment>
    <comment ref="E164" authorId="0">
      <text>
        <r>
          <t>Goal reps for this set. A set row counts once Goal Reps is filled in.</t>
        </r>
      </text>
    </comment>
    <comment ref="F164" authorId="0">
      <text>
        <r>
          <t>Optional, e.g. 8-12.</t>
        </r>
      </text>
    </comment>
    <comment ref="C174" authorId="0">
      <text>
        <r>
          <t>Optional. A section title shown above this exercise in the app, e.g. "Warm-Up" or "Finisher". Leave blank if this exercise continues the section above.</t>
        </r>
      </text>
    </comment>
    <comment ref="E174" authorId="0">
      <text>
        <r>
          <t>Optional notes for the section.</t>
        </r>
      </text>
    </comment>
    <comment ref="C176" authorId="0">
      <text>
        <r>
          <t>Only if the exercise is not in the library. Leave the library box above blank and pick a muscle group to the right.</t>
        </r>
      </text>
    </comment>
    <comment ref="E176" authorId="0">
      <text>
        <r>
          <t>Muscle group — required for a custom exercise.</t>
        </r>
      </text>
    </comment>
    <comment ref="C177" authorId="0">
      <text>
        <r>
          <t>Optional. Give exercises the same letter (A, B, …) to superset them. Paired in the order listed (A1, A2, …).</t>
        </r>
      </text>
    </comment>
    <comment ref="E177" authorId="0">
      <text>
        <r>
          <t>Optional cues for the client: tempo, rest, form.</t>
        </r>
      </text>
    </comment>
    <comment ref="C178" authorId="0">
      <text>
        <r>
          <t>Blank = Regular (or Super Set when a superset letter is set).</t>
        </r>
      </text>
    </comment>
    <comment ref="D178" authorId="0">
      <text>
        <r>
          <t>Optional goal weight. Blank = bodyweight / client chooses.</t>
        </r>
      </text>
    </comment>
    <comment ref="E178" authorId="0">
      <text>
        <r>
          <t>Goal reps for this set. A set row counts once Goal Reps is filled in.</t>
        </r>
      </text>
    </comment>
    <comment ref="F178" authorId="0">
      <text>
        <r>
          <t>Optional, e.g. 8-12.</t>
        </r>
      </text>
    </comment>
    <comment ref="C188" authorId="0">
      <text>
        <r>
          <t>Optional. A section title shown above this exercise in the app, e.g. "Warm-Up" or "Finisher". Leave blank if this exercise continues the section above.</t>
        </r>
      </text>
    </comment>
    <comment ref="E188" authorId="0">
      <text>
        <r>
          <t>Optional notes for the section.</t>
        </r>
      </text>
    </comment>
    <comment ref="C190" authorId="0">
      <text>
        <r>
          <t>Only if the exercise is not in the library. Leave the library box above blank and pick a muscle group to the right.</t>
        </r>
      </text>
    </comment>
    <comment ref="E190" authorId="0">
      <text>
        <r>
          <t>Muscle group — required for a custom exercise.</t>
        </r>
      </text>
    </comment>
    <comment ref="C191" authorId="0">
      <text>
        <r>
          <t>Optional. Give exercises the same letter (A, B, …) to superset them. Paired in the order listed (A1, A2, …).</t>
        </r>
      </text>
    </comment>
    <comment ref="E191" authorId="0">
      <text>
        <r>
          <t>Optional cues for the client: tempo, rest, form.</t>
        </r>
      </text>
    </comment>
    <comment ref="C192" authorId="0">
      <text>
        <r>
          <t>Blank = Regular (or Super Set when a superset letter is set).</t>
        </r>
      </text>
    </comment>
    <comment ref="D192" authorId="0">
      <text>
        <r>
          <t>Optional goal weight. Blank = bodyweight / client chooses.</t>
        </r>
      </text>
    </comment>
    <comment ref="E192" authorId="0">
      <text>
        <r>
          <t>Goal reps for this set. A set row counts once Goal Reps is filled in.</t>
        </r>
      </text>
    </comment>
    <comment ref="F192" authorId="0">
      <text>
        <r>
          <t>Optional, e.g. 8-12.</t>
        </r>
      </text>
    </comment>
    <comment ref="C202" authorId="0">
      <text>
        <r>
          <t>Optional. A section title shown above this exercise in the app, e.g. "Warm-Up" or "Finisher". Leave blank if this exercise continues the section above.</t>
        </r>
      </text>
    </comment>
    <comment ref="E202" authorId="0">
      <text>
        <r>
          <t>Optional notes for the section.</t>
        </r>
      </text>
    </comment>
    <comment ref="C204" authorId="0">
      <text>
        <r>
          <t>Only if the exercise is not in the library. Leave the library box above blank and pick a muscle group to the right.</t>
        </r>
      </text>
    </comment>
    <comment ref="E204" authorId="0">
      <text>
        <r>
          <t>Muscle group — required for a custom exercise.</t>
        </r>
      </text>
    </comment>
    <comment ref="C205" authorId="0">
      <text>
        <r>
          <t>Optional. Give exercises the same letter (A, B, …) to superset them. Paired in the order listed (A1, A2, …).</t>
        </r>
      </text>
    </comment>
    <comment ref="E205" authorId="0">
      <text>
        <r>
          <t>Optional cues for the client: tempo, rest, form.</t>
        </r>
      </text>
    </comment>
    <comment ref="C206" authorId="0">
      <text>
        <r>
          <t>Blank = Regular (or Super Set when a superset letter is set).</t>
        </r>
      </text>
    </comment>
    <comment ref="D206" authorId="0">
      <text>
        <r>
          <t>Optional goal weight. Blank = bodyweight / client chooses.</t>
        </r>
      </text>
    </comment>
    <comment ref="E206" authorId="0">
      <text>
        <r>
          <t>Goal reps for this set. A set row counts once Goal Reps is filled in.</t>
        </r>
      </text>
    </comment>
    <comment ref="F206" authorId="0">
      <text>
        <r>
          <t>Optional, e.g. 8-12.</t>
        </r>
      </text>
    </comment>
  </commentList>
</comments>
</file>

<file path=xl/sharedStrings.xml><?xml version="1.0" encoding="utf-8"?>
<sst xmlns="http://schemas.openxmlformats.org/spreadsheetml/2006/main" count="3083" uniqueCount="471">
  <si>
    <t>RepLab Workout &amp; Program Template</t>
  </si>
  <si>
    <t>Build a workout or a full program here, then upload this file in Trainer Central. Yellow cells are for you to fill in.</t>
  </si>
  <si>
    <t>QUESTIONS</t>
  </si>
  <si>
    <t>1. What are you creating?</t>
  </si>
  <si>
    <t>2. Program name</t>
  </si>
  <si>
    <t>3. Program description (optional)</t>
  </si>
  <si>
    <t>4. Program type</t>
  </si>
  <si>
    <t>5. How many weeks? (1–52)</t>
  </si>
  <si>
    <t>6. How many different workouts? (1–12)</t>
  </si>
  <si>
    <t>7. Created by (optional)</t>
  </si>
  <si>
    <t>SHEETS TO FILL OUT</t>
  </si>
  <si>
    <t>Sheet</t>
  </si>
  <si>
    <t>Status</t>
  </si>
  <si>
    <t>Problems</t>
  </si>
  <si>
    <t>Workout 1</t>
  </si>
  <si>
    <t>Workout 2</t>
  </si>
  <si>
    <t>Workout 3</t>
  </si>
  <si>
    <t>Workout 4</t>
  </si>
  <si>
    <t>Workout 5</t>
  </si>
  <si>
    <t>Workout 6</t>
  </si>
  <si>
    <t>Workout 7</t>
  </si>
  <si>
    <t>Workout 8</t>
  </si>
  <si>
    <t>Workout 9</t>
  </si>
  <si>
    <t>Workout 10</t>
  </si>
  <si>
    <t>Workout 11</t>
  </si>
  <si>
    <t>Workout 12</t>
  </si>
  <si>
    <t>Schedule</t>
  </si>
  <si>
    <t>Exercise Library</t>
  </si>
  <si>
    <t>REFERENCE</t>
  </si>
  <si>
    <t>Look up exercises — no need to edit</t>
  </si>
  <si>
    <t>READY TO UPLOAD?</t>
  </si>
  <si>
    <t>HOW IT WORKS</t>
  </si>
  <si>
    <t>1. Answer the questions above. The list of sheets turns GREEN for sheets you need to fill out and RED for sheets you can skip.</t>
  </si>
  <si>
    <t>2. Each green Workout sheet looks like a workout in the app: name the workout, then fill one exercise card per exercise, top to bottom (15 cards).</t>
  </si>
  <si>
    <t>3. Pick the exercise from the library dropdown on the dark bar (type to search) so clients get the demo video. Not in the library? Leave it blank and type it in “or Custom” with a muscle group.</t>
  </si>
  <si>
    <t>4. Under the exercise, fill one row per set (up to 8): Type, Goal Wt and Goal Reps become the goal columns clients see in the app. Goal Wt is in lbs; blank = bodyweight. Type blank = Regular.</t>
  </si>
  <si>
    <t>5. Mix set types freely, e.g. sets 1–2 Warm Up, sets 3–5 Regular, set 6 Drop Set.</t>
  </si>
  <si>
    <t>6. Supersets: give the exercises the same Superset letter (A, B, …). They are paired in the order listed (A1, A2, …).</t>
  </si>
  <si>
    <t>7. Section titles (“Warm-Up”, “Finisher”…): type them in “Section” above the first exercise of that section.</t>
  </si>
  <si>
    <t>8. Program: on the Schedule sheet pick a workout or REST for each of the 7 days, for every week. Tip: fill Week 1, then copy it down.</t>
  </si>
  <si>
    <t>9. Fix anything marked ⚠, check READY TO UPLOAD above, then upload the file in Trainer Central.</t>
  </si>
  <si>
    <t>Google Sheets: File → Import, or upload to Drive and open with Google Sheets. Download as .xlsx before uploading to RepLab.</t>
  </si>
  <si>
    <t>WORKOUT NAME</t>
  </si>
  <si>
    <t>WORKOUT NOTES</t>
  </si>
  <si>
    <t>Section (optional)</t>
  </si>
  <si>
    <t>EXERCISE 1</t>
  </si>
  <si>
    <t>or Custom</t>
  </si>
  <si>
    <t>← muscle group</t>
  </si>
  <si>
    <t>Superset</t>
  </si>
  <si>
    <t>Coach notes</t>
  </si>
  <si>
    <t>Set</t>
  </si>
  <si>
    <t>Type</t>
  </si>
  <si>
    <t>Goal Wt (lbs)</t>
  </si>
  <si>
    <t>Goal Reps</t>
  </si>
  <si>
    <t>Rep Range</t>
  </si>
  <si>
    <t>EXERCISE 2</t>
  </si>
  <si>
    <t>EXERCISE 3</t>
  </si>
  <si>
    <t>EXERCISE 4</t>
  </si>
  <si>
    <t>EXERCISE 5</t>
  </si>
  <si>
    <t>EXERCISE 6</t>
  </si>
  <si>
    <t>EXERCISE 7</t>
  </si>
  <si>
    <t>EXERCISE 8</t>
  </si>
  <si>
    <t>EXERCISE 9</t>
  </si>
  <si>
    <t>EXERCISE 10</t>
  </si>
  <si>
    <t>EXERCISE 11</t>
  </si>
  <si>
    <t>EXERCISE 12</t>
  </si>
  <si>
    <t>EXERCISE 13</t>
  </si>
  <si>
    <t>EXERCISE 14</t>
  </si>
  <si>
    <t>EXERCISE 15</t>
  </si>
  <si>
    <t>For each week, pick a workout (by the name you gave it) or REST for all 7 days. Day 1 is the day the client starts the program. Tip: fill Week 1, then copy it down.</t>
  </si>
  <si>
    <t>Week</t>
  </si>
  <si>
    <t>Day 1</t>
  </si>
  <si>
    <t>Day 2</t>
  </si>
  <si>
    <t>Day 3</t>
  </si>
  <si>
    <t>Day 4</t>
  </si>
  <si>
    <t>Day 5</t>
  </si>
  <si>
    <t>Day 6</t>
  </si>
  <si>
    <t>Day 7</t>
  </si>
  <si>
    <t>Check</t>
  </si>
  <si>
    <t>ID</t>
  </si>
  <si>
    <t>Exercise</t>
  </si>
  <si>
    <t>Muscle Group</t>
  </si>
  <si>
    <t>Demo Video</t>
  </si>
  <si>
    <t>1 Arm Lat Pull-In</t>
  </si>
  <si>
    <t>Back</t>
  </si>
  <si>
    <t>Yes</t>
  </si>
  <si>
    <t>Ab Crunch Machine</t>
  </si>
  <si>
    <t>Core</t>
  </si>
  <si>
    <t>Ab Wheel Rollout</t>
  </si>
  <si>
    <t>Alternating Dumbbell Shoulder Press (Standing)</t>
  </si>
  <si>
    <t>Shoulders</t>
  </si>
  <si>
    <t>Arnold Press</t>
  </si>
  <si>
    <t>Assault/Air Bike</t>
  </si>
  <si>
    <t>Conditioning</t>
  </si>
  <si>
    <t>Assisted Machine Dip</t>
  </si>
  <si>
    <t>Triceps</t>
  </si>
  <si>
    <t>Assisted Pull-Up Machine</t>
  </si>
  <si>
    <t>Back Hyperextension</t>
  </si>
  <si>
    <t>Back Squat</t>
  </si>
  <si>
    <t>Quads</t>
  </si>
  <si>
    <t>Band Curls</t>
  </si>
  <si>
    <t>Biceps</t>
  </si>
  <si>
    <t>Band High Pulls</t>
  </si>
  <si>
    <t>Band Pushups</t>
  </si>
  <si>
    <t>Chest</t>
  </si>
  <si>
    <t>Band Shoulder Press</t>
  </si>
  <si>
    <t>Band Triceps Extensions</t>
  </si>
  <si>
    <t>Banded Abductions</t>
  </si>
  <si>
    <t>Glutes</t>
  </si>
  <si>
    <t>Banded Barbell B-Stance Hip Thrust</t>
  </si>
  <si>
    <t>Banded Barbell Glute Bridge</t>
  </si>
  <si>
    <t>Banded Barbell Glute Bridge B-Stance</t>
  </si>
  <si>
    <t>Banded Barbell Hip Thrust</t>
  </si>
  <si>
    <t>Banded Barbell Hip Thrust Dropset</t>
  </si>
  <si>
    <t>Banded Bodyweight Hip Thrust</t>
  </si>
  <si>
    <t>Banded Close-Grip DB Bench</t>
  </si>
  <si>
    <t>Banded Lateral Raise</t>
  </si>
  <si>
    <t>Banded Seated Abduction</t>
  </si>
  <si>
    <t>Banded Shoulder Press</t>
  </si>
  <si>
    <t>Barbell Bench Press</t>
  </si>
  <si>
    <t>Barbell Bent Over Row</t>
  </si>
  <si>
    <t>Barbell Curl</t>
  </si>
  <si>
    <t>Barbell Floor Skull Crusher</t>
  </si>
  <si>
    <t>Barbell Front Raise</t>
  </si>
  <si>
    <t>Barbell Hip Thrust</t>
  </si>
  <si>
    <t>Barbell Lunges</t>
  </si>
  <si>
    <t>Barbell Preacher Curl</t>
  </si>
  <si>
    <t>Barbell Romanian Deadlift</t>
  </si>
  <si>
    <t>Hamstrings</t>
  </si>
  <si>
    <t>Barbell Shoulder Press</t>
  </si>
  <si>
    <t>Barbell Shrug</t>
  </si>
  <si>
    <t>Traps</t>
  </si>
  <si>
    <t>Barbell Sumo Deadlift</t>
  </si>
  <si>
    <t>Barbell Wrist Curl</t>
  </si>
  <si>
    <t>Forearms</t>
  </si>
  <si>
    <t>Battle Ropes</t>
  </si>
  <si>
    <t>Bayesian Cable Curl</t>
  </si>
  <si>
    <t>Behind-The-Back Wrist Curl</t>
  </si>
  <si>
    <t>Behind-The-Neck Pulldown</t>
  </si>
  <si>
    <t>Belt Squat</t>
  </si>
  <si>
    <t>Bench Dips</t>
  </si>
  <si>
    <t>Bicycle Crunch</t>
  </si>
  <si>
    <t>Bird Dog</t>
  </si>
  <si>
    <t>Bodyweight Triceps Extensions</t>
  </si>
  <si>
    <t>Box Jumps</t>
  </si>
  <si>
    <t>Box Squat</t>
  </si>
  <si>
    <t>Bulgarian Split Squat</t>
  </si>
  <si>
    <t>Burpees</t>
  </si>
  <si>
    <t>Cable Chest Flye</t>
  </si>
  <si>
    <t>Cable Chest Flye (High-to-Low)</t>
  </si>
  <si>
    <t>Cable Chest Flye (Low-to-High)</t>
  </si>
  <si>
    <t>Cable Crossover</t>
  </si>
  <si>
    <t>Cable Crossover From Low Pulley</t>
  </si>
  <si>
    <t>Cable Crunch</t>
  </si>
  <si>
    <t>Cable Curl</t>
  </si>
  <si>
    <t>Cable Front Raise</t>
  </si>
  <si>
    <t>Cable Glute Kickback</t>
  </si>
  <si>
    <t>Cable Hip Abduction</t>
  </si>
  <si>
    <t>Cable Hip Adduction</t>
  </si>
  <si>
    <t>Adductors</t>
  </si>
  <si>
    <t>Cable Lateral Raise</t>
  </si>
  <si>
    <t>Cable Pull-Through</t>
  </si>
  <si>
    <t>Cable Reverse Flye</t>
  </si>
  <si>
    <t>Cable Seated Elbows Out Row</t>
  </si>
  <si>
    <t>Cable Shrugs</t>
  </si>
  <si>
    <t>Cable Straight-Arm Pulldown</t>
  </si>
  <si>
    <t>Cable Tricep Extensions</t>
  </si>
  <si>
    <t>Cable Tricep Pushdown</t>
  </si>
  <si>
    <t>Cable Triceps Kickback</t>
  </si>
  <si>
    <t>Cable Woodchopper</t>
  </si>
  <si>
    <t>Cable Wrist Curl</t>
  </si>
  <si>
    <t>Cable Y-Raise</t>
  </si>
  <si>
    <t>Chest Dips</t>
  </si>
  <si>
    <t>Chest-Supported Row</t>
  </si>
  <si>
    <t>Chest-Supported T-Bar Row w/ Band</t>
  </si>
  <si>
    <t>Chin Curl + Negative Hold</t>
  </si>
  <si>
    <t>Chin-Ups</t>
  </si>
  <si>
    <t>Clean And Press</t>
  </si>
  <si>
    <t>Cliffhanger Walkouts</t>
  </si>
  <si>
    <t>No</t>
  </si>
  <si>
    <t>Close-Grip Bench Press</t>
  </si>
  <si>
    <t>Close-Grip Dumbbell Bench</t>
  </si>
  <si>
    <t>Close-Grip Push-Ups</t>
  </si>
  <si>
    <t>Close-Grip Smith Machine Press</t>
  </si>
  <si>
    <t>Concentration Curl</t>
  </si>
  <si>
    <t>Cossack Squat</t>
  </si>
  <si>
    <t>Cross-Body Hammer Curl</t>
  </si>
  <si>
    <t>Cross-Body Hammer Strength Press</t>
  </si>
  <si>
    <t>Crunch</t>
  </si>
  <si>
    <t>Crush Grip Dumbbell Press</t>
  </si>
  <si>
    <t>Cuban Press</t>
  </si>
  <si>
    <t>Curtsy Lunge</t>
  </si>
  <si>
    <t>DB 21s</t>
  </si>
  <si>
    <t>DB Shoulder Press</t>
  </si>
  <si>
    <t>DB Shovel Curls</t>
  </si>
  <si>
    <t>DB Triceps Extensions + Close Grip Bench</t>
  </si>
  <si>
    <t>Dead Bug</t>
  </si>
  <si>
    <t>Dead Hang</t>
  </si>
  <si>
    <t>Deadlift</t>
  </si>
  <si>
    <t>Decline Barbell Bench Press</t>
  </si>
  <si>
    <t>Decline Dumbbell Press</t>
  </si>
  <si>
    <t>Decline Sit-Up</t>
  </si>
  <si>
    <t>Decline Smith Machine Press</t>
  </si>
  <si>
    <t>Deficit Barbell Romanian Deadlift</t>
  </si>
  <si>
    <t>Deficit Dumbbell Reverse Lunge</t>
  </si>
  <si>
    <t>Deficit Sumo Stance Kettlebell Deadlift</t>
  </si>
  <si>
    <t>Diamond Push-Ups</t>
  </si>
  <si>
    <t>Divebomber Pushups</t>
  </si>
  <si>
    <t>Dragon Flag</t>
  </si>
  <si>
    <t>Dumbbell Bench Press</t>
  </si>
  <si>
    <t>Dumbbell Bent-Over Lateral Raise</t>
  </si>
  <si>
    <t>Dumbbell Curl</t>
  </si>
  <si>
    <t>Dumbbell Floor Flyes</t>
  </si>
  <si>
    <t>Dumbbell Floor Press</t>
  </si>
  <si>
    <t>Dumbbell Fly</t>
  </si>
  <si>
    <t>Dumbbell Front Raise</t>
  </si>
  <si>
    <t>Dumbbell Glute Bridge</t>
  </si>
  <si>
    <t>Dumbbell Hammer Curl</t>
  </si>
  <si>
    <t>Dumbbell Isolateral Skull Crusher</t>
  </si>
  <si>
    <t>Dumbbell Kickbacks</t>
  </si>
  <si>
    <t>Dumbbell Lateral Raise</t>
  </si>
  <si>
    <t>Dumbbell One-Arm Row</t>
  </si>
  <si>
    <t>Dumbbell Preacher Curl</t>
  </si>
  <si>
    <t>Dumbbell Pronated Curl</t>
  </si>
  <si>
    <t>Dumbbell Rear Delt Fly</t>
  </si>
  <si>
    <t>Dumbbell Romanian Deadlift</t>
  </si>
  <si>
    <t>Dumbbell Shoulder Press</t>
  </si>
  <si>
    <t>Dumbbell Shrug</t>
  </si>
  <si>
    <t>Dumbbell Step-Ups</t>
  </si>
  <si>
    <t>Dumbbell Sumo Squat</t>
  </si>
  <si>
    <t>Dumbbell Supinated Curl</t>
  </si>
  <si>
    <t>Dumbbell Tricep Extensions</t>
  </si>
  <si>
    <t>Dumbbell Upright Row</t>
  </si>
  <si>
    <t>Dumbbell Walking Lunge</t>
  </si>
  <si>
    <t>Dumbbell Wall Curl</t>
  </si>
  <si>
    <t>Dumbbell Wrist Curl</t>
  </si>
  <si>
    <t>Egyptian Lateral Raise</t>
  </si>
  <si>
    <t>Elliptical</t>
  </si>
  <si>
    <t>EZ Bar Curl</t>
  </si>
  <si>
    <t>EZ Bar Drag Curl</t>
  </si>
  <si>
    <t>EZ Bar Skull Crushers</t>
  </si>
  <si>
    <t>EZ Bar Upright Row</t>
  </si>
  <si>
    <t>EZ-Bar Cable Curl</t>
  </si>
  <si>
    <t>EZ-Bar Preacher Curl</t>
  </si>
  <si>
    <t>Face Pulls</t>
  </si>
  <si>
    <t>Farmer's Carry</t>
  </si>
  <si>
    <t>Flutter Kicks</t>
  </si>
  <si>
    <t>French Press</t>
  </si>
  <si>
    <t>Frog Pumps</t>
  </si>
  <si>
    <t>Front Squat</t>
  </si>
  <si>
    <t>Glute Bridge</t>
  </si>
  <si>
    <t>Glute Ham Raise</t>
  </si>
  <si>
    <t>Glute Kickback Machine</t>
  </si>
  <si>
    <t>Glute/Hamstring Focused Back Extension</t>
  </si>
  <si>
    <t>Goblet Squat</t>
  </si>
  <si>
    <t>Good Morning</t>
  </si>
  <si>
    <t>Hack Squat</t>
  </si>
  <si>
    <t>Hang Clean</t>
  </si>
  <si>
    <t>Hang Snatch</t>
  </si>
  <si>
    <t>Hanging Corkscrews</t>
  </si>
  <si>
    <t>Hanging Knee Raise</t>
  </si>
  <si>
    <t>Hanging Leg Raise</t>
  </si>
  <si>
    <t>High Cable Curl</t>
  </si>
  <si>
    <t>High Knees</t>
  </si>
  <si>
    <t>Hip Thrust Machine</t>
  </si>
  <si>
    <t>Hollow Body Hold</t>
  </si>
  <si>
    <t>Incline Barbell Bench</t>
  </si>
  <si>
    <t>Incline Dumbbell Curl</t>
  </si>
  <si>
    <t>Incline Dumbbell Fly</t>
  </si>
  <si>
    <t>Incline Dumbbell Press</t>
  </si>
  <si>
    <t>Incline Dumbbell Row</t>
  </si>
  <si>
    <t>Inverted Chin Curls</t>
  </si>
  <si>
    <t>Inverted Rows</t>
  </si>
  <si>
    <t>Jack Pushups</t>
  </si>
  <si>
    <t>JM Press</t>
  </si>
  <si>
    <t>Jump Rope</t>
  </si>
  <si>
    <t>Jump Squats</t>
  </si>
  <si>
    <t>Kettlebell Clean</t>
  </si>
  <si>
    <t>Kettlebell Single Leg Deadlift</t>
  </si>
  <si>
    <t>Kettlebell Snatch</t>
  </si>
  <si>
    <t>Kettlebell Swing</t>
  </si>
  <si>
    <t>Knee Up Chinups</t>
  </si>
  <si>
    <t>Kneeling Single Arm Cable Flye</t>
  </si>
  <si>
    <t>Kneeling Straight-Arm Cable Pull-Over</t>
  </si>
  <si>
    <t>L-Sit</t>
  </si>
  <si>
    <t>Landmine Press</t>
  </si>
  <si>
    <t>Landmine Row</t>
  </si>
  <si>
    <t>Lateral Band Walk</t>
  </si>
  <si>
    <t>Lateral Lunge</t>
  </si>
  <si>
    <t>Leg Curl</t>
  </si>
  <si>
    <t>Leg Extension</t>
  </si>
  <si>
    <t>Leg Press</t>
  </si>
  <si>
    <t>Leg Press Calf Raise</t>
  </si>
  <si>
    <t>Calves</t>
  </si>
  <si>
    <t>Low-To-High Reverse Flye</t>
  </si>
  <si>
    <t>Lying Cable Rear Delt Fly</t>
  </si>
  <si>
    <t>Lying Leg Raise</t>
  </si>
  <si>
    <t>Lying Triceps Extension</t>
  </si>
  <si>
    <t>Machine Bench Press</t>
  </si>
  <si>
    <t>Machine Chest Fly</t>
  </si>
  <si>
    <t>Machine Curls</t>
  </si>
  <si>
    <t>Machine High Row</t>
  </si>
  <si>
    <t>Machine Incline Press</t>
  </si>
  <si>
    <t>Machine Lateral Raise</t>
  </si>
  <si>
    <t>Machine Row</t>
  </si>
  <si>
    <t>Machine Shoulder Press</t>
  </si>
  <si>
    <t>Machine Tricep Extension</t>
  </si>
  <si>
    <t>Meadows Row</t>
  </si>
  <si>
    <t>Military Press / Push Press Complex</t>
  </si>
  <si>
    <t>Mountain Climbers</t>
  </si>
  <si>
    <t>Neutral-Grip Pulldown</t>
  </si>
  <si>
    <t>Nordic Hamstring Curl</t>
  </si>
  <si>
    <t>Over Unders</t>
  </si>
  <si>
    <t>Overhead Cable Triceps Extension</t>
  </si>
  <si>
    <t>Overhead Dumbbell Extension</t>
  </si>
  <si>
    <t>Overhead Squat</t>
  </si>
  <si>
    <t>Pallof Press</t>
  </si>
  <si>
    <t>Pec Deck</t>
  </si>
  <si>
    <t>Pendlay Row</t>
  </si>
  <si>
    <t>Pendulum Squat</t>
  </si>
  <si>
    <t>Pistol Squat</t>
  </si>
  <si>
    <t>Plank</t>
  </si>
  <si>
    <t>Power Clean</t>
  </si>
  <si>
    <t>Power Snatch</t>
  </si>
  <si>
    <t>Preacher Curl Machine</t>
  </si>
  <si>
    <t>Prone Glute Leg Raise</t>
  </si>
  <si>
    <t>Prone Hamstring Curl Single Leg</t>
  </si>
  <si>
    <t>Pull-Up</t>
  </si>
  <si>
    <t>Push Press</t>
  </si>
  <si>
    <t>Pushups</t>
  </si>
  <si>
    <t>Reverse Grip EZ Bar Curl</t>
  </si>
  <si>
    <t>Reverse Hyperextension</t>
  </si>
  <si>
    <t>Reverse Lunges</t>
  </si>
  <si>
    <t>Reverse Pec Deck</t>
  </si>
  <si>
    <t>Reverse-Grip Barbell Curl</t>
  </si>
  <si>
    <t>Reverse-Grip Pulldown</t>
  </si>
  <si>
    <t>Reverse-Grip Tricep Pushdown</t>
  </si>
  <si>
    <t>Rope Cable Curl</t>
  </si>
  <si>
    <t>Rope Straight-Arm Pulldown</t>
  </si>
  <si>
    <t>Rope Triceps Pressdown</t>
  </si>
  <si>
    <t>Rope Upright Row</t>
  </si>
  <si>
    <t>Round-Back Dumbbell 45° Hyperextension</t>
  </si>
  <si>
    <t>Rowing Machine</t>
  </si>
  <si>
    <t>Run The Rack DB Curls</t>
  </si>
  <si>
    <t>Russian Twist</t>
  </si>
  <si>
    <t>Seal Row</t>
  </si>
  <si>
    <t>Seated Abduction Machine</t>
  </si>
  <si>
    <t>Seated Adduction Machine</t>
  </si>
  <si>
    <t>Seated Barbell Curl</t>
  </si>
  <si>
    <t>Seated Cable Row</t>
  </si>
  <si>
    <t>Seated Calf Raise</t>
  </si>
  <si>
    <t>Seated Hip Flexor Raises</t>
  </si>
  <si>
    <t>Seated Leg Curl</t>
  </si>
  <si>
    <t>Seated Leg Press Machine</t>
  </si>
  <si>
    <t>Shuffle Pushups + Pick Up</t>
  </si>
  <si>
    <t>Side Plank</t>
  </si>
  <si>
    <t>Single Arm Dumbbell Lateral Raise</t>
  </si>
  <si>
    <t>Single Leg Calf Raise</t>
  </si>
  <si>
    <t>Single Leg GHD Raise</t>
  </si>
  <si>
    <t>Single Leg Leg Press</t>
  </si>
  <si>
    <t>Single Leg Seated Leg Press Machine</t>
  </si>
  <si>
    <t>Single-Arm Cable Curl</t>
  </si>
  <si>
    <t>Single-Arm Pulldown</t>
  </si>
  <si>
    <t>Single-Arm Seated Cable Row</t>
  </si>
  <si>
    <t>Single-Leg Hip Thrust</t>
  </si>
  <si>
    <t>Single-Leg Leg Extension</t>
  </si>
  <si>
    <t>Single-Leg RDL</t>
  </si>
  <si>
    <t>Sissy Squat</t>
  </si>
  <si>
    <t>Ski Erg</t>
  </si>
  <si>
    <t>Skiers</t>
  </si>
  <si>
    <t>Sled Drag</t>
  </si>
  <si>
    <t>Sled Push</t>
  </si>
  <si>
    <t>Slow Eccentric Dip</t>
  </si>
  <si>
    <t>Smith Machine Behind-The-Back Shrug</t>
  </si>
  <si>
    <t>Smith Machine Bench Press</t>
  </si>
  <si>
    <t>Smith Machine Calf Raise</t>
  </si>
  <si>
    <t>Smith Machine Hip Thrust</t>
  </si>
  <si>
    <t>Smith Machine Incline Press</t>
  </si>
  <si>
    <t>Smith Machine One-Arm Upright Row</t>
  </si>
  <si>
    <t>Smith Machine Reverse Lunge</t>
  </si>
  <si>
    <t>Smith Machine Squat</t>
  </si>
  <si>
    <t>Snatch Grip Barbell Shrug</t>
  </si>
  <si>
    <t>Snatch-Grip Deadlift</t>
  </si>
  <si>
    <t>Spider Curl</t>
  </si>
  <si>
    <t>Spiderman Pullups</t>
  </si>
  <si>
    <t>Spiderman Pushups</t>
  </si>
  <si>
    <t>Sprints</t>
  </si>
  <si>
    <t>Stair Climber</t>
  </si>
  <si>
    <t>Standing Cable Kickbacks</t>
  </si>
  <si>
    <t>Standing Calf Raise</t>
  </si>
  <si>
    <t>Standing Calf Raise Machine</t>
  </si>
  <si>
    <t>Standing Oblique Cable Crunch</t>
  </si>
  <si>
    <t>Stationary Bike</t>
  </si>
  <si>
    <t>Stiff Leg Deadlift</t>
  </si>
  <si>
    <t>Suitcase Carry</t>
  </si>
  <si>
    <t>Supinated Weighted Pull-Ups</t>
  </si>
  <si>
    <t>Swiss Ball Single-Leg Leg Curl</t>
  </si>
  <si>
    <t>T-Bar Row</t>
  </si>
  <si>
    <t>Tate Press</t>
  </si>
  <si>
    <t>Thruster</t>
  </si>
  <si>
    <t>Tibialis Raise</t>
  </si>
  <si>
    <t>Toes-to-Bar</t>
  </si>
  <si>
    <t>Trap Bar Shrugs</t>
  </si>
  <si>
    <t>Treadmill</t>
  </si>
  <si>
    <t>Triceps V-Bar Pressdown</t>
  </si>
  <si>
    <t>Turkish Get-Up</t>
  </si>
  <si>
    <t>Twisting Pistons</t>
  </si>
  <si>
    <t>Upright Dips</t>
  </si>
  <si>
    <t>V-Bar Pull Downs</t>
  </si>
  <si>
    <t>V-Ups</t>
  </si>
  <si>
    <t>Walking Lunge</t>
  </si>
  <si>
    <t>Walking Renegade Rows</t>
  </si>
  <si>
    <t>Wall Balls</t>
  </si>
  <si>
    <t>Wide-Grip Cable Pulldowns</t>
  </si>
  <si>
    <t>Z Press</t>
  </si>
  <si>
    <t>Zercher Squat</t>
  </si>
  <si>
    <t>Zottman Curl</t>
  </si>
  <si>
    <t>Workout names</t>
  </si>
  <si>
    <t>Set types</t>
  </si>
  <si>
    <t>Set type keys</t>
  </si>
  <si>
    <t>Muscle groups</t>
  </si>
  <si>
    <t>Superset groups</t>
  </si>
  <si>
    <t>Creating</t>
  </si>
  <si>
    <t>Program types</t>
  </si>
  <si>
    <t>Program type keys</t>
  </si>
  <si>
    <t>Template version</t>
  </si>
  <si>
    <t>REST</t>
  </si>
  <si>
    <t>Regular</t>
  </si>
  <si>
    <t>straight</t>
  </si>
  <si>
    <t>A</t>
  </si>
  <si>
    <t>Single Workout</t>
  </si>
  <si>
    <t>Hypertrophy</t>
  </si>
  <si>
    <t>hypertrophy</t>
  </si>
  <si>
    <t>RepLab Workout Template v1</t>
  </si>
  <si>
    <t>Warm Up</t>
  </si>
  <si>
    <t>warm_up</t>
  </si>
  <si>
    <t>B</t>
  </si>
  <si>
    <t>Program</t>
  </si>
  <si>
    <t>Strength</t>
  </si>
  <si>
    <t>strength</t>
  </si>
  <si>
    <t>Touch Up</t>
  </si>
  <si>
    <t>touch_up</t>
  </si>
  <si>
    <t>C</t>
  </si>
  <si>
    <t>Hybrid</t>
  </si>
  <si>
    <t>hybrid</t>
  </si>
  <si>
    <t>Drop Set</t>
  </si>
  <si>
    <t>drop</t>
  </si>
  <si>
    <t>D</t>
  </si>
  <si>
    <t>conditioning</t>
  </si>
  <si>
    <t>Rest Pause</t>
  </si>
  <si>
    <t>rest_pause</t>
  </si>
  <si>
    <t>E</t>
  </si>
  <si>
    <t>Shred</t>
  </si>
  <si>
    <t>strength_conditioning</t>
  </si>
  <si>
    <t>Super Set</t>
  </si>
  <si>
    <t>superset</t>
  </si>
  <si>
    <t>F</t>
  </si>
  <si>
    <t>Hypertrophy &amp; Strength</t>
  </si>
  <si>
    <t>hypertrophy_strength</t>
  </si>
  <si>
    <t>Alternating Set</t>
  </si>
  <si>
    <t>alternating</t>
  </si>
  <si>
    <t>G</t>
  </si>
  <si>
    <t>Glute-Focused</t>
  </si>
  <si>
    <t>glute_focused</t>
  </si>
  <si>
    <t>Pre-Exhaust</t>
  </si>
  <si>
    <t>pre_exhaust</t>
  </si>
  <si>
    <t>H</t>
  </si>
  <si>
    <t>Other</t>
  </si>
  <si>
    <t>other</t>
  </si>
  <si>
    <t>I</t>
  </si>
  <si>
    <t>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</si>
</sst>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Week &quot;0"/>
  </numFmts>
  <fonts count="12" x14ac:knownFonts="1">
    <font>
      <color theme="1"/>
      <family val="2"/>
      <scheme val="minor"/>
      <sz val="11"/>
      <name val="Calibri"/>
    </font>
    <font>
      <b/>
      <color rgb="FFE10600"/>
      <sz val="20"/>
      <name val="Arial"/>
    </font>
    <font>
      <i/>
      <color rgb="FF6B6B6B"/>
      <sz val="10"/>
      <name val="Arial"/>
    </font>
    <font>
      <b/>
      <color rgb="FF6B6B6B"/>
      <sz val="10"/>
      <name val="Arial"/>
    </font>
    <font>
      <b/>
      <color rgb="FF111111"/>
      <sz val="10"/>
      <name val="Arial"/>
    </font>
    <font>
      <color rgb="FF111111"/>
      <sz val="10"/>
      <name val="Arial"/>
    </font>
    <font>
      <color rgb="FF6B6B6B"/>
      <sz val="10"/>
      <name val="Arial"/>
    </font>
    <font>
      <b/>
      <color rgb="FFFFFFFF"/>
      <sz val="10"/>
      <name val="Arial"/>
    </font>
    <font>
      <b/>
      <color rgb="FF111111"/>
      <sz val="12"/>
      <name val="Arial"/>
    </font>
    <font>
      <b/>
      <color rgb="FF111111"/>
      <sz val="14"/>
      <name val="Arial"/>
    </font>
    <font>
      <b/>
      <color rgb="FF6B6B6B"/>
      <sz val="9"/>
      <name val="Arial"/>
    </font>
    <font>
      <b/>
      <color rgb="FF6B6B6B"/>
      <sz val="8"/>
      <name val="Arial"/>
    </font>
  </fonts>
  <fills count="6">
    <fill>
      <patternFill patternType="none"/>
    </fill>
    <fill>
      <patternFill patternType="gray125"/>
    </fill>
    <fill>
      <patternFill patternType="solid">
        <fgColor rgb="FFFFFDE7"/>
      </patternFill>
    </fill>
    <fill>
      <patternFill patternType="solid">
        <fgColor rgb="FF2B2B2B"/>
      </patternFill>
    </fill>
    <fill>
      <patternFill patternType="solid">
        <fgColor rgb="FF1F1F1F"/>
      </patternFill>
    </fill>
    <fill>
      <patternFill patternType="solid">
        <fgColor rgb="FFF2F2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9">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center" wrapText="1"/>
    </xf>
    <xf numFmtId="0" fontId="5" fillId="2" borderId="1" xfId="0" applyFont="1" applyFill="1" applyBorder="1" applyAlignment="1">
      <alignment vertical="center" wrapText="1"/>
    </xf>
    <xf numFmtId="0" fontId="6" fillId="0" borderId="0" xfId="0" applyFont="1" applyAlignment="1">
      <alignment vertical="center" wrapText="1"/>
    </xf>
    <xf numFmtId="0" fontId="7" fillId="3" borderId="1" xfId="0" applyFont="1" applyFill="1" applyBorder="1" applyAlignment="1">
      <alignment horizontal="center" vertical="center" wrapText="1"/>
    </xf>
    <xf numFmtId="0" fontId="5" fillId="0" borderId="1" xfId="0" applyFont="1" applyBorder="1" applyAlignment="1">
      <alignment horizontal="left" vertical="center"/>
    </xf>
    <xf numFmtId="0" fontId="4" fillId="0" borderId="1" xfId="0" applyFont="1" applyBorder="1" applyAlignment="1">
      <alignment horizontal="center" vertical="center"/>
    </xf>
    <xf numFmtId="0" fontId="8" fillId="0" borderId="0" xfId="0" applyFont="1"/>
    <xf numFmtId="0" fontId="8" fillId="0" borderId="0" xfId="0" applyFont="1" applyAlignment="1">
      <alignment horizontal="center" vertical="center"/>
    </xf>
    <xf numFmtId="0" fontId="3" fillId="0" borderId="0" xfId="0" applyFont="1" applyAlignment="1">
      <alignment vertical="top" wrapText="1"/>
    </xf>
    <xf numFmtId="0" fontId="5" fillId="0" borderId="0" xfId="0" applyFont="1" applyAlignment="1">
      <alignment vertical="top" wrapText="1"/>
    </xf>
    <xf numFmtId="0" fontId="9" fillId="0" borderId="0" xfId="0" applyFont="1" applyAlignment="1">
      <alignment horizontal="center" vertical="center"/>
    </xf>
    <xf numFmtId="0" fontId="10" fillId="0" borderId="0" xfId="0" applyFont="1"/>
    <xf numFmtId="0" fontId="9" fillId="2" borderId="1" xfId="0" applyFont="1" applyFill="1" applyBorder="1" applyAlignment="1">
      <alignment vertical="center" wrapText="1"/>
    </xf>
    <xf numFmtId="0" fontId="4" fillId="0" borderId="0" xfId="0" applyFont="1"/>
    <xf numFmtId="0" fontId="10" fillId="0" borderId="0" xfId="0" applyFont="1" applyAlignment="1">
      <alignment vertical="center"/>
    </xf>
    <xf numFmtId="0" fontId="4" fillId="2" borderId="1" xfId="0" applyFont="1" applyFill="1" applyBorder="1" applyAlignment="1">
      <alignment vertical="center" wrapText="1"/>
    </xf>
    <xf numFmtId="0" fontId="7" fillId="4" borderId="1" xfId="0" applyFont="1" applyFill="1" applyBorder="1" applyAlignment="1">
      <alignment vertical="center"/>
    </xf>
    <xf numFmtId="0" fontId="8" fillId="2" borderId="1" xfId="0" applyFont="1" applyFill="1" applyBorder="1" applyAlignment="1">
      <alignment vertical="center"/>
    </xf>
    <xf numFmtId="0" fontId="5" fillId="2" borderId="1" xfId="0" applyFont="1" applyFill="1" applyBorder="1" applyAlignment="1">
      <alignment horizontal="center" vertical="center"/>
    </xf>
    <xf numFmtId="0" fontId="11" fillId="5" borderId="1" xfId="0" applyFont="1" applyFill="1" applyBorder="1" applyAlignment="1">
      <alignment horizontal="center" vertical="center"/>
    </xf>
    <xf numFmtId="0" fontId="3" fillId="0" borderId="1" xfId="0" applyFont="1" applyBorder="1" applyAlignment="1">
      <alignment horizontal="center" vertical="center"/>
    </xf>
    <xf numFmtId="0" fontId="2" fillId="0" borderId="0" xfId="0" applyFont="1" applyAlignment="1">
      <alignment wrapText="1"/>
    </xf>
    <xf numFmtId="164" fontId="4" fillId="0" borderId="0" xfId="0" applyNumberFormat="1" applyFont="1"/>
    <xf numFmtId="0" fontId="5" fillId="0" borderId="1" xfId="0" applyFont="1" applyBorder="1"/>
    <xf numFmtId="0" fontId="5" fillId="0" borderId="0" xfId="0" applyFont="1"/>
  </cellXfs>
  <cellStyles count="1">
    <cellStyle name="Normal" xfId="0" builtinId="0"/>
  </cellStyles>
  <dxfs count="88">
    <dxf>
      <font>
        <b/>
        <color rgb="FF9B0000"/>
      </font>
    </dxf>
    <dxf>
      <font>
        <color rgb="FF0B6B12"/>
      </font>
    </dxf>
    <dxf>
      <font>
        <b/>
        <color rgb="FF0B6B12"/>
      </font>
      <fill>
        <patternFill patternType="solid">
          <fgColor rgb="FFC8F7C5"/>
        </patternFill>
      </fill>
    </dxf>
    <dxf>
      <font>
        <color rgb="FF9B0000"/>
      </font>
      <fill>
        <patternFill patternType="solid">
          <fgColor rgb="FFFFC9C9"/>
        </patternFill>
      </fill>
    </dxf>
    <dxf>
      <font>
        <color rgb="FF6B6B6B"/>
      </font>
      <fill>
        <patternFill patternType="solid">
          <fgColor rgb="FFF2F2F2"/>
        </patternFill>
      </fill>
    </dxf>
    <dxf>
      <font>
        <b/>
        <color rgb="FF9B0000"/>
      </font>
    </dxf>
    <dxf>
      <font>
        <b/>
        <color rgb="FF0B6B12"/>
      </font>
      <fill>
        <patternFill patternType="solid">
          <fgColor rgb="FFC8F7C5"/>
        </patternFill>
      </fill>
    </dxf>
    <dxf>
      <font>
        <b/>
        <color rgb="FF9B0000"/>
      </font>
      <fill>
        <patternFill patternType="solid">
          <fgColor rgb="FFFFC9C9"/>
        </patternFill>
      </fill>
    </dxf>
    <dxf>
      <font>
        <b/>
        <color rgb="FF8A5A00"/>
      </font>
      <fill>
        <patternFill patternType="solid">
          <fgColor rgb="FFFFE8B0"/>
        </patternFill>
      </fill>
    </dxf>
    <dxf>
      <font>
        <b/>
        <color rgb="FF0B6B12"/>
      </font>
      <fill>
        <patternFill patternType="solid">
          <fgColor rgb="FFC8F7C5"/>
        </patternFill>
      </fill>
    </dxf>
    <dxf>
      <font>
        <b/>
        <color rgb="FF9B0000"/>
      </font>
      <fill>
        <patternFill patternType="solid">
          <fgColor rgb="FFFFC9C9"/>
        </patternFill>
      </fill>
    </dxf>
    <dxf>
      <font>
        <b/>
        <color rgb="FF8A5A00"/>
      </font>
      <fill>
        <patternFill patternType="solid">
          <fgColor rgb="FFFFE8B0"/>
        </patternFill>
      </fill>
    </dxf>
    <dxf>
      <font>
        <b/>
        <color rgb="FF9B0000"/>
      </font>
      <fill>
        <patternFill patternType="solid">
          <fgColor rgb="FFFFC9C9"/>
        </patternFill>
      </fill>
    </dxf>
    <dxf>
      <font>
        <color rgb="FF0B6B12"/>
      </font>
    </dxf>
    <dxf>
      <font>
        <color rgb="FFAAAAAA"/>
      </font>
      <fill>
        <patternFill patternType="solid">
          <fgColor rgb="FFF2F2F2"/>
        </patternFill>
      </fill>
    </dxf>
    <dxf>
      <font>
        <b/>
        <color rgb="FF0B6B12"/>
      </font>
      <fill>
        <patternFill patternType="solid">
          <fgColor rgb="FFC8F7C5"/>
        </patternFill>
      </fill>
    </dxf>
    <dxf>
      <font>
        <b/>
        <color rgb="FF9B0000"/>
      </font>
      <fill>
        <patternFill patternType="solid">
          <fgColor rgb="FFFFC9C9"/>
        </patternFill>
      </fill>
    </dxf>
    <dxf>
      <font>
        <b/>
        <color rgb="FF8A5A00"/>
      </font>
      <fill>
        <patternFill patternType="solid">
          <fgColor rgb="FFFFE8B0"/>
        </patternFill>
      </fill>
    </dxf>
    <dxf>
      <font>
        <b/>
        <color rgb="FF9B0000"/>
      </font>
      <fill>
        <patternFill patternType="solid">
          <fgColor rgb="FFFFC9C9"/>
        </patternFill>
      </fill>
    </dxf>
    <dxf>
      <font>
        <color rgb="FF0B6B12"/>
      </font>
    </dxf>
    <dxf>
      <font>
        <color rgb="FFAAAAAA"/>
      </font>
      <fill>
        <patternFill patternType="solid">
          <fgColor rgb="FFF2F2F2"/>
        </patternFill>
      </fill>
    </dxf>
    <dxf>
      <font>
        <b/>
        <color rgb="FF0B6B12"/>
      </font>
      <fill>
        <patternFill patternType="solid">
          <fgColor rgb="FFC8F7C5"/>
        </patternFill>
      </fill>
    </dxf>
    <dxf>
      <font>
        <b/>
        <color rgb="FF9B0000"/>
      </font>
      <fill>
        <patternFill patternType="solid">
          <fgColor rgb="FFFFC9C9"/>
        </patternFill>
      </fill>
    </dxf>
    <dxf>
      <font>
        <b/>
        <color rgb="FF8A5A00"/>
      </font>
      <fill>
        <patternFill patternType="solid">
          <fgColor rgb="FFFFE8B0"/>
        </patternFill>
      </fill>
    </dxf>
    <dxf>
      <font>
        <b/>
        <color rgb="FF9B0000"/>
      </font>
      <fill>
        <patternFill patternType="solid">
          <fgColor rgb="FFFFC9C9"/>
        </patternFill>
      </fill>
    </dxf>
    <dxf>
      <font>
        <color rgb="FF0B6B12"/>
      </font>
    </dxf>
    <dxf>
      <font>
        <color rgb="FFAAAAAA"/>
      </font>
      <fill>
        <patternFill patternType="solid">
          <fgColor rgb="FFF2F2F2"/>
        </patternFill>
      </fill>
    </dxf>
    <dxf>
      <font>
        <b/>
        <color rgb="FF0B6B12"/>
      </font>
      <fill>
        <patternFill patternType="solid">
          <fgColor rgb="FFC8F7C5"/>
        </patternFill>
      </fill>
    </dxf>
    <dxf>
      <font>
        <b/>
        <color rgb="FF9B0000"/>
      </font>
      <fill>
        <patternFill patternType="solid">
          <fgColor rgb="FFFFC9C9"/>
        </patternFill>
      </fill>
    </dxf>
    <dxf>
      <font>
        <b/>
        <color rgb="FF8A5A00"/>
      </font>
      <fill>
        <patternFill patternType="solid">
          <fgColor rgb="FFFFE8B0"/>
        </patternFill>
      </fill>
    </dxf>
    <dxf>
      <font>
        <b/>
        <color rgb="FF9B0000"/>
      </font>
      <fill>
        <patternFill patternType="solid">
          <fgColor rgb="FFFFC9C9"/>
        </patternFill>
      </fill>
    </dxf>
    <dxf>
      <font>
        <color rgb="FF0B6B12"/>
      </font>
    </dxf>
    <dxf>
      <font>
        <color rgb="FFAAAAAA"/>
      </font>
      <fill>
        <patternFill patternType="solid">
          <fgColor rgb="FFF2F2F2"/>
        </patternFill>
      </fill>
    </dxf>
    <dxf>
      <font>
        <b/>
        <color rgb="FF0B6B12"/>
      </font>
      <fill>
        <patternFill patternType="solid">
          <fgColor rgb="FFC8F7C5"/>
        </patternFill>
      </fill>
    </dxf>
    <dxf>
      <font>
        <b/>
        <color rgb="FF9B0000"/>
      </font>
      <fill>
        <patternFill patternType="solid">
          <fgColor rgb="FFFFC9C9"/>
        </patternFill>
      </fill>
    </dxf>
    <dxf>
      <font>
        <b/>
        <color rgb="FF8A5A00"/>
      </font>
      <fill>
        <patternFill patternType="solid">
          <fgColor rgb="FFFFE8B0"/>
        </patternFill>
      </fill>
    </dxf>
    <dxf>
      <font>
        <b/>
        <color rgb="FF9B0000"/>
      </font>
      <fill>
        <patternFill patternType="solid">
          <fgColor rgb="FFFFC9C9"/>
        </patternFill>
      </fill>
    </dxf>
    <dxf>
      <font>
        <color rgb="FF0B6B12"/>
      </font>
    </dxf>
    <dxf>
      <font>
        <color rgb="FFAAAAAA"/>
      </font>
      <fill>
        <patternFill patternType="solid">
          <fgColor rgb="FFF2F2F2"/>
        </patternFill>
      </fill>
    </dxf>
    <dxf>
      <font>
        <b/>
        <color rgb="FF0B6B12"/>
      </font>
      <fill>
        <patternFill patternType="solid">
          <fgColor rgb="FFC8F7C5"/>
        </patternFill>
      </fill>
    </dxf>
    <dxf>
      <font>
        <b/>
        <color rgb="FF9B0000"/>
      </font>
      <fill>
        <patternFill patternType="solid">
          <fgColor rgb="FFFFC9C9"/>
        </patternFill>
      </fill>
    </dxf>
    <dxf>
      <font>
        <b/>
        <color rgb="FF8A5A00"/>
      </font>
      <fill>
        <patternFill patternType="solid">
          <fgColor rgb="FFFFE8B0"/>
        </patternFill>
      </fill>
    </dxf>
    <dxf>
      <font>
        <b/>
        <color rgb="FF9B0000"/>
      </font>
      <fill>
        <patternFill patternType="solid">
          <fgColor rgb="FFFFC9C9"/>
        </patternFill>
      </fill>
    </dxf>
    <dxf>
      <font>
        <color rgb="FF0B6B12"/>
      </font>
    </dxf>
    <dxf>
      <font>
        <color rgb="FFAAAAAA"/>
      </font>
      <fill>
        <patternFill patternType="solid">
          <fgColor rgb="FFF2F2F2"/>
        </patternFill>
      </fill>
    </dxf>
    <dxf>
      <font>
        <b/>
        <color rgb="FF0B6B12"/>
      </font>
      <fill>
        <patternFill patternType="solid">
          <fgColor rgb="FFC8F7C5"/>
        </patternFill>
      </fill>
    </dxf>
    <dxf>
      <font>
        <b/>
        <color rgb="FF9B0000"/>
      </font>
      <fill>
        <patternFill patternType="solid">
          <fgColor rgb="FFFFC9C9"/>
        </patternFill>
      </fill>
    </dxf>
    <dxf>
      <font>
        <b/>
        <color rgb="FF8A5A00"/>
      </font>
      <fill>
        <patternFill patternType="solid">
          <fgColor rgb="FFFFE8B0"/>
        </patternFill>
      </fill>
    </dxf>
    <dxf>
      <font>
        <b/>
        <color rgb="FF9B0000"/>
      </font>
      <fill>
        <patternFill patternType="solid">
          <fgColor rgb="FFFFC9C9"/>
        </patternFill>
      </fill>
    </dxf>
    <dxf>
      <font>
        <color rgb="FF0B6B12"/>
      </font>
    </dxf>
    <dxf>
      <font>
        <color rgb="FFAAAAAA"/>
      </font>
      <fill>
        <patternFill patternType="solid">
          <fgColor rgb="FFF2F2F2"/>
        </patternFill>
      </fill>
    </dxf>
    <dxf>
      <font>
        <b/>
        <color rgb="FF0B6B12"/>
      </font>
      <fill>
        <patternFill patternType="solid">
          <fgColor rgb="FFC8F7C5"/>
        </patternFill>
      </fill>
    </dxf>
    <dxf>
      <font>
        <b/>
        <color rgb="FF9B0000"/>
      </font>
      <fill>
        <patternFill patternType="solid">
          <fgColor rgb="FFFFC9C9"/>
        </patternFill>
      </fill>
    </dxf>
    <dxf>
      <font>
        <b/>
        <color rgb="FF8A5A00"/>
      </font>
      <fill>
        <patternFill patternType="solid">
          <fgColor rgb="FFFFE8B0"/>
        </patternFill>
      </fill>
    </dxf>
    <dxf>
      <font>
        <b/>
        <color rgb="FF9B0000"/>
      </font>
      <fill>
        <patternFill patternType="solid">
          <fgColor rgb="FFFFC9C9"/>
        </patternFill>
      </fill>
    </dxf>
    <dxf>
      <font>
        <color rgb="FF0B6B12"/>
      </font>
    </dxf>
    <dxf>
      <font>
        <color rgb="FFAAAAAA"/>
      </font>
      <fill>
        <patternFill patternType="solid">
          <fgColor rgb="FFF2F2F2"/>
        </patternFill>
      </fill>
    </dxf>
    <dxf>
      <font>
        <b/>
        <color rgb="FF0B6B12"/>
      </font>
      <fill>
        <patternFill patternType="solid">
          <fgColor rgb="FFC8F7C5"/>
        </patternFill>
      </fill>
    </dxf>
    <dxf>
      <font>
        <b/>
        <color rgb="FF9B0000"/>
      </font>
      <fill>
        <patternFill patternType="solid">
          <fgColor rgb="FFFFC9C9"/>
        </patternFill>
      </fill>
    </dxf>
    <dxf>
      <font>
        <b/>
        <color rgb="FF8A5A00"/>
      </font>
      <fill>
        <patternFill patternType="solid">
          <fgColor rgb="FFFFE8B0"/>
        </patternFill>
      </fill>
    </dxf>
    <dxf>
      <font>
        <b/>
        <color rgb="FF9B0000"/>
      </font>
      <fill>
        <patternFill patternType="solid">
          <fgColor rgb="FFFFC9C9"/>
        </patternFill>
      </fill>
    </dxf>
    <dxf>
      <font>
        <color rgb="FF0B6B12"/>
      </font>
    </dxf>
    <dxf>
      <font>
        <color rgb="FFAAAAAA"/>
      </font>
      <fill>
        <patternFill patternType="solid">
          <fgColor rgb="FFF2F2F2"/>
        </patternFill>
      </fill>
    </dxf>
    <dxf>
      <font>
        <b/>
        <color rgb="FF0B6B12"/>
      </font>
      <fill>
        <patternFill patternType="solid">
          <fgColor rgb="FFC8F7C5"/>
        </patternFill>
      </fill>
    </dxf>
    <dxf>
      <font>
        <b/>
        <color rgb="FF9B0000"/>
      </font>
      <fill>
        <patternFill patternType="solid">
          <fgColor rgb="FFFFC9C9"/>
        </patternFill>
      </fill>
    </dxf>
    <dxf>
      <font>
        <b/>
        <color rgb="FF8A5A00"/>
      </font>
      <fill>
        <patternFill patternType="solid">
          <fgColor rgb="FFFFE8B0"/>
        </patternFill>
      </fill>
    </dxf>
    <dxf>
      <font>
        <b/>
        <color rgb="FF9B0000"/>
      </font>
      <fill>
        <patternFill patternType="solid">
          <fgColor rgb="FFFFC9C9"/>
        </patternFill>
      </fill>
    </dxf>
    <dxf>
      <font>
        <color rgb="FF0B6B12"/>
      </font>
    </dxf>
    <dxf>
      <font>
        <color rgb="FFAAAAAA"/>
      </font>
      <fill>
        <patternFill patternType="solid">
          <fgColor rgb="FFF2F2F2"/>
        </patternFill>
      </fill>
    </dxf>
    <dxf>
      <font>
        <b/>
        <color rgb="FF0B6B12"/>
      </font>
      <fill>
        <patternFill patternType="solid">
          <fgColor rgb="FFC8F7C5"/>
        </patternFill>
      </fill>
    </dxf>
    <dxf>
      <font>
        <b/>
        <color rgb="FF9B0000"/>
      </font>
      <fill>
        <patternFill patternType="solid">
          <fgColor rgb="FFFFC9C9"/>
        </patternFill>
      </fill>
    </dxf>
    <dxf>
      <font>
        <b/>
        <color rgb="FF8A5A00"/>
      </font>
      <fill>
        <patternFill patternType="solid">
          <fgColor rgb="FFFFE8B0"/>
        </patternFill>
      </fill>
    </dxf>
    <dxf>
      <font>
        <b/>
        <color rgb="FF9B0000"/>
      </font>
      <fill>
        <patternFill patternType="solid">
          <fgColor rgb="FFFFC9C9"/>
        </patternFill>
      </fill>
    </dxf>
    <dxf>
      <font>
        <color rgb="FF0B6B12"/>
      </font>
    </dxf>
    <dxf>
      <font>
        <color rgb="FFAAAAAA"/>
      </font>
      <fill>
        <patternFill patternType="solid">
          <fgColor rgb="FFF2F2F2"/>
        </patternFill>
      </fill>
    </dxf>
    <dxf>
      <font>
        <b/>
        <color rgb="FF0B6B12"/>
      </font>
      <fill>
        <patternFill patternType="solid">
          <fgColor rgb="FFC8F7C5"/>
        </patternFill>
      </fill>
    </dxf>
    <dxf>
      <font>
        <b/>
        <color rgb="FF9B0000"/>
      </font>
      <fill>
        <patternFill patternType="solid">
          <fgColor rgb="FFFFC9C9"/>
        </patternFill>
      </fill>
    </dxf>
    <dxf>
      <font>
        <b/>
        <color rgb="FF8A5A00"/>
      </font>
      <fill>
        <patternFill patternType="solid">
          <fgColor rgb="FFFFE8B0"/>
        </patternFill>
      </fill>
    </dxf>
    <dxf>
      <font>
        <b/>
        <color rgb="FF9B0000"/>
      </font>
      <fill>
        <patternFill patternType="solid">
          <fgColor rgb="FFFFC9C9"/>
        </patternFill>
      </fill>
    </dxf>
    <dxf>
      <font>
        <color rgb="FF0B6B12"/>
      </font>
    </dxf>
    <dxf>
      <font>
        <color rgb="FFAAAAAA"/>
      </font>
      <fill>
        <patternFill patternType="solid">
          <fgColor rgb="FFF2F2F2"/>
        </patternFill>
      </fill>
    </dxf>
    <dxf>
      <font>
        <b/>
        <color rgb="FF0B6B12"/>
      </font>
      <fill>
        <patternFill patternType="solid">
          <fgColor rgb="FFC8F7C5"/>
        </patternFill>
      </fill>
    </dxf>
    <dxf>
      <font>
        <b/>
        <color rgb="FF9B0000"/>
      </font>
      <fill>
        <patternFill patternType="solid">
          <fgColor rgb="FFFFC9C9"/>
        </patternFill>
      </fill>
    </dxf>
    <dxf>
      <font>
        <b/>
        <color rgb="FF8A5A00"/>
      </font>
      <fill>
        <patternFill patternType="solid">
          <fgColor rgb="FFFFE8B0"/>
        </patternFill>
      </fill>
    </dxf>
    <dxf>
      <font>
        <color rgb="FFAAAAAA"/>
      </font>
      <fill>
        <patternFill patternType="solid">
          <fgColor rgb="FFF2F2F2"/>
        </patternFill>
      </fill>
    </dxf>
    <dxf>
      <font>
        <color rgb="FF1E4E8C"/>
      </font>
      <fill>
        <patternFill patternType="solid">
          <fgColor rgb="FFDDEBFF"/>
        </patternFill>
      </fill>
    </dxf>
    <dxf>
      <font>
        <b/>
        <color rgb="FF9B0000"/>
      </font>
      <fill>
        <patternFill patternType="solid">
          <fgColor rgb="FFFFC9C9"/>
        </patternFill>
      </fill>
    </dxf>
    <dxf>
      <font>
        <color rgb="FF0B6B1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10600"/>
  </sheetPr>
  <dimension ref="A1:D40"/>
  <sheetViews>
    <sheetView workbookViewId="0" showGridLines="0"/>
  </sheetViews>
  <sheetFormatPr defaultRowHeight="15" outlineLevelRow="0" outlineLevelCol="0" x14ac:dyDescent="55"/>
  <cols>
    <col min="1" max="1" width="3" customWidth="1"/>
    <col min="2" max="2" width="38" customWidth="1"/>
    <col min="3" max="3" width="34" customWidth="1"/>
    <col min="4" max="4" width="46" customWidth="1"/>
    <col min="5" max="5" width="3" customWidth="1"/>
  </cols>
  <sheetData>
    <row r="1" ht="34" customHeight="1" spans="2:4" x14ac:dyDescent="0.25">
      <c r="B1" s="1" t="s">
        <v>0</v>
      </c>
      <c r="C1" s="1"/>
      <c r="D1" s="1"/>
    </row>
    <row r="2" spans="2:4" x14ac:dyDescent="0.25">
      <c r="B2" s="2" t="s">
        <v>1</v>
      </c>
      <c r="C2" s="2"/>
      <c r="D2" s="2"/>
    </row>
    <row r="3" spans="2:2" x14ac:dyDescent="0.25">
      <c r="B3" s="3" t="s">
        <v>2</v>
      </c>
    </row>
    <row r="4" ht="22" customHeight="1" spans="2:4" x14ac:dyDescent="0.25">
      <c r="B4" s="4" t="s">
        <v>3</v>
      </c>
      <c r="C4" s="5"/>
      <c r="D4" s="6">
        <f>IF(C4="","⚠ Choose Single Workout or Program","✓")</f>
      </c>
    </row>
    <row r="5" ht="22" customHeight="1" spans="2:4" x14ac:dyDescent="0.25">
      <c r="B5" s="4" t="s">
        <v>4</v>
      </c>
      <c r="C5" s="5"/>
      <c r="D5" s="6">
        <f>IF($C$4&lt;&gt;"Program","Not needed for a single workout",IF(C5="","⚠ Required","✓"))</f>
      </c>
    </row>
    <row r="6" ht="22" customHeight="1" spans="2:4" x14ac:dyDescent="0.25">
      <c r="B6" s="4" t="s">
        <v>5</v>
      </c>
      <c r="C6" s="5"/>
      <c r="D6" s="6">
        <f>IF($C$4&lt;&gt;"Program","Not needed for a single workout","Optional — shown to clients")</f>
      </c>
    </row>
    <row r="7" ht="22" customHeight="1" spans="2:4" x14ac:dyDescent="0.25">
      <c r="B7" s="4" t="s">
        <v>6</v>
      </c>
      <c r="C7" s="5"/>
      <c r="D7" s="6">
        <f>IF($C$4&lt;&gt;"Program","Not needed for a single workout",IF(C7="","⚠ Required","✓"))</f>
      </c>
    </row>
    <row r="8" ht="22" customHeight="1" spans="2:4" x14ac:dyDescent="0.25">
      <c r="B8" s="4" t="s">
        <v>7</v>
      </c>
      <c r="C8" s="5"/>
      <c r="D8" s="6">
        <f>IF($C$4&lt;&gt;"Program","Not needed for a single workout",IF(C8="","⚠ Required","✓ Fill weeks 1–"&amp;C8&amp;" on the Schedule sheet"))</f>
      </c>
    </row>
    <row r="9" ht="22" customHeight="1" spans="2:4" x14ac:dyDescent="0.25">
      <c r="B9" s="4" t="s">
        <v>8</v>
      </c>
      <c r="C9" s="5"/>
      <c r="D9" s="6">
        <f>IF($C$4&lt;&gt;"Program","Single workout: fill out the Workout 1 sheet",IF(C9="","⚠ Required","✓ Fill out Workout 1–"&amp;C9))</f>
      </c>
    </row>
    <row r="10" ht="22" customHeight="1" spans="2:4" x14ac:dyDescent="0.25">
      <c r="B10" s="4" t="s">
        <v>9</v>
      </c>
      <c r="C10" s="5"/>
      <c r="D10" s="6">
        <f>"Your name or business — optional"</f>
      </c>
    </row>
    <row r="11" spans="2:2" x14ac:dyDescent="0.25">
      <c r="B11" s="3" t="s">
        <v>10</v>
      </c>
    </row>
    <row r="12" ht="32" customHeight="1" spans="1:4" x14ac:dyDescent="0.25">
      <c r="B12" s="7" t="s">
        <v>11</v>
      </c>
      <c r="C12" s="7" t="s">
        <v>12</v>
      </c>
      <c r="D12" s="7" t="s">
        <v>13</v>
      </c>
    </row>
    <row r="13" spans="2:4" x14ac:dyDescent="0.25">
      <c r="B13" s="8" t="s">
        <v>14</v>
      </c>
      <c r="C13" s="9">
        <f>IF('Workout 1'!$O$1="FILL","FILL OUT",IF('Workout 1'!$O$1="SKIP","NOT NEEDED","Answer question 1"))</f>
      </c>
      <c r="D13" s="8">
        <f>IF('Workout 1'!$O$2=0,"",'Workout 1'!$O$2&amp;" — look for ⚠ in the Check column")</f>
      </c>
    </row>
    <row r="14" spans="2:4" x14ac:dyDescent="0.25">
      <c r="B14" s="8" t="s">
        <v>15</v>
      </c>
      <c r="C14" s="9">
        <f>IF('Workout 2'!$O$1="FILL","FILL OUT",IF('Workout 2'!$O$1="SKIP","NOT NEEDED","Answer question 1"))</f>
      </c>
      <c r="D14" s="8">
        <f>IF('Workout 2'!$O$2=0,"",'Workout 2'!$O$2&amp;" — look for ⚠ in the Check column")</f>
      </c>
    </row>
    <row r="15" spans="2:4" x14ac:dyDescent="0.25">
      <c r="B15" s="8" t="s">
        <v>16</v>
      </c>
      <c r="C15" s="9">
        <f>IF('Workout 3'!$O$1="FILL","FILL OUT",IF('Workout 3'!$O$1="SKIP","NOT NEEDED","Answer question 1"))</f>
      </c>
      <c r="D15" s="8">
        <f>IF('Workout 3'!$O$2=0,"",'Workout 3'!$O$2&amp;" — look for ⚠ in the Check column")</f>
      </c>
    </row>
    <row r="16" spans="2:4" x14ac:dyDescent="0.25">
      <c r="B16" s="8" t="s">
        <v>17</v>
      </c>
      <c r="C16" s="9">
        <f>IF('Workout 4'!$O$1="FILL","FILL OUT",IF('Workout 4'!$O$1="SKIP","NOT NEEDED","Answer question 1"))</f>
      </c>
      <c r="D16" s="8">
        <f>IF('Workout 4'!$O$2=0,"",'Workout 4'!$O$2&amp;" — look for ⚠ in the Check column")</f>
      </c>
    </row>
    <row r="17" spans="2:4" x14ac:dyDescent="0.25">
      <c r="B17" s="8" t="s">
        <v>18</v>
      </c>
      <c r="C17" s="9">
        <f>IF('Workout 5'!$O$1="FILL","FILL OUT",IF('Workout 5'!$O$1="SKIP","NOT NEEDED","Answer question 1"))</f>
      </c>
      <c r="D17" s="8">
        <f>IF('Workout 5'!$O$2=0,"",'Workout 5'!$O$2&amp;" — look for ⚠ in the Check column")</f>
      </c>
    </row>
    <row r="18" spans="2:4" x14ac:dyDescent="0.25">
      <c r="B18" s="8" t="s">
        <v>19</v>
      </c>
      <c r="C18" s="9">
        <f>IF('Workout 6'!$O$1="FILL","FILL OUT",IF('Workout 6'!$O$1="SKIP","NOT NEEDED","Answer question 1"))</f>
      </c>
      <c r="D18" s="8">
        <f>IF('Workout 6'!$O$2=0,"",'Workout 6'!$O$2&amp;" — look for ⚠ in the Check column")</f>
      </c>
    </row>
    <row r="19" spans="2:4" x14ac:dyDescent="0.25">
      <c r="B19" s="8" t="s">
        <v>20</v>
      </c>
      <c r="C19" s="9">
        <f>IF('Workout 7'!$O$1="FILL","FILL OUT",IF('Workout 7'!$O$1="SKIP","NOT NEEDED","Answer question 1"))</f>
      </c>
      <c r="D19" s="8">
        <f>IF('Workout 7'!$O$2=0,"",'Workout 7'!$O$2&amp;" — look for ⚠ in the Check column")</f>
      </c>
    </row>
    <row r="20" spans="2:4" x14ac:dyDescent="0.25">
      <c r="B20" s="8" t="s">
        <v>21</v>
      </c>
      <c r="C20" s="9">
        <f>IF('Workout 8'!$O$1="FILL","FILL OUT",IF('Workout 8'!$O$1="SKIP","NOT NEEDED","Answer question 1"))</f>
      </c>
      <c r="D20" s="8">
        <f>IF('Workout 8'!$O$2=0,"",'Workout 8'!$O$2&amp;" — look for ⚠ in the Check column")</f>
      </c>
    </row>
    <row r="21" spans="2:4" x14ac:dyDescent="0.25">
      <c r="B21" s="8" t="s">
        <v>22</v>
      </c>
      <c r="C21" s="9">
        <f>IF('Workout 9'!$O$1="FILL","FILL OUT",IF('Workout 9'!$O$1="SKIP","NOT NEEDED","Answer question 1"))</f>
      </c>
      <c r="D21" s="8">
        <f>IF('Workout 9'!$O$2=0,"",'Workout 9'!$O$2&amp;" — look for ⚠ in the Check column")</f>
      </c>
    </row>
    <row r="22" spans="2:4" x14ac:dyDescent="0.25">
      <c r="B22" s="8" t="s">
        <v>23</v>
      </c>
      <c r="C22" s="9">
        <f>IF('Workout 10'!$O$1="FILL","FILL OUT",IF('Workout 10'!$O$1="SKIP","NOT NEEDED","Answer question 1"))</f>
      </c>
      <c r="D22" s="8">
        <f>IF('Workout 10'!$O$2=0,"",'Workout 10'!$O$2&amp;" — look for ⚠ in the Check column")</f>
      </c>
    </row>
    <row r="23" spans="2:4" x14ac:dyDescent="0.25">
      <c r="B23" s="8" t="s">
        <v>24</v>
      </c>
      <c r="C23" s="9">
        <f>IF('Workout 11'!$O$1="FILL","FILL OUT",IF('Workout 11'!$O$1="SKIP","NOT NEEDED","Answer question 1"))</f>
      </c>
      <c r="D23" s="8">
        <f>IF('Workout 11'!$O$2=0,"",'Workout 11'!$O$2&amp;" — look for ⚠ in the Check column")</f>
      </c>
    </row>
    <row r="24" spans="2:4" x14ac:dyDescent="0.25">
      <c r="B24" s="8" t="s">
        <v>25</v>
      </c>
      <c r="C24" s="9">
        <f>IF('Workout 12'!$O$1="FILL","FILL OUT",IF('Workout 12'!$O$1="SKIP","NOT NEEDED","Answer question 1"))</f>
      </c>
      <c r="D24" s="8">
        <f>IF('Workout 12'!$O$2=0,"",'Workout 12'!$O$2&amp;" — look for ⚠ in the Check column")</f>
      </c>
    </row>
    <row r="25" spans="2:4" x14ac:dyDescent="0.25">
      <c r="B25" s="8" t="s">
        <v>26</v>
      </c>
      <c r="C25" s="9">
        <f>IF('Schedule'!$O$1="FILL","FILL OUT",IF('Schedule'!$O$1="SKIP","NOT NEEDED","Answer question 1"))</f>
      </c>
      <c r="D25" s="8">
        <f>IF(Schedule!$O$2=0,"",Schedule!$O$2&amp;" — look for ⚠ in the Check column")</f>
      </c>
    </row>
    <row r="26" spans="2:4" x14ac:dyDescent="0.25">
      <c r="B26" s="8" t="s">
        <v>27</v>
      </c>
      <c r="C26" s="9" t="s">
        <v>28</v>
      </c>
      <c r="D26" s="8" t="s">
        <v>29</v>
      </c>
    </row>
    <row r="28" ht="26" customHeight="1" spans="2:4" x14ac:dyDescent="0.25">
      <c r="B28" s="10" t="s">
        <v>30</v>
      </c>
      <c r="C28" s="11">
        <f>IF($C$4="","Answer question 1 first",IF(('Workout 1'!$O$2+'Workout 2'!$O$2+'Workout 3'!$O$2+'Workout 4'!$O$2+'Workout 5'!$O$2+'Workout 6'!$O$2+'Workout 7'!$O$2+'Workout 8'!$O$2+'Workout 9'!$O$2+'Workout 10'!$O$2+'Workout 11'!$O$2+'Workout 12'!$O$2+Schedule!$O$2+COUNTIF($D$4:$D$10,"⚠*"))=0,"✓ Ready to upload","⚠ "&amp;('Workout 1'!$O$2+'Workout 2'!$O$2+'Workout 3'!$O$2+'Workout 4'!$O$2+'Workout 5'!$O$2+'Workout 6'!$O$2+'Workout 7'!$O$2+'Workout 8'!$O$2+'Workout 9'!$O$2+'Workout 10'!$O$2+'Workout 11'!$O$2+'Workout 12'!$O$2+Schedule!$O$2+COUNTIF($D$4:$D$10,"⚠*"))&amp;" problem(s) to fix — see the list above"))</f>
      </c>
      <c r="D28" s="11"/>
    </row>
    <row r="30" ht="18" customHeight="1" spans="2:4" x14ac:dyDescent="0.25">
      <c r="B30" s="12" t="s">
        <v>31</v>
      </c>
      <c r="C30" s="12"/>
      <c r="D30" s="12"/>
    </row>
    <row r="31" ht="30" customHeight="1" spans="2:4" x14ac:dyDescent="0.25">
      <c r="B31" s="13" t="s">
        <v>32</v>
      </c>
      <c r="C31" s="13"/>
      <c r="D31" s="13"/>
    </row>
    <row r="32" ht="30" customHeight="1" spans="2:4" x14ac:dyDescent="0.25">
      <c r="B32" s="13" t="s">
        <v>33</v>
      </c>
      <c r="C32" s="13"/>
      <c r="D32" s="13"/>
    </row>
    <row r="33" ht="30" customHeight="1" spans="2:4" x14ac:dyDescent="0.25">
      <c r="B33" s="13" t="s">
        <v>34</v>
      </c>
      <c r="C33" s="13"/>
      <c r="D33" s="13"/>
    </row>
    <row r="34" ht="30" customHeight="1" spans="2:4" x14ac:dyDescent="0.25">
      <c r="B34" s="13" t="s">
        <v>35</v>
      </c>
      <c r="C34" s="13"/>
      <c r="D34" s="13"/>
    </row>
    <row r="35" ht="30" customHeight="1" spans="2:4" x14ac:dyDescent="0.25">
      <c r="B35" s="13" t="s">
        <v>36</v>
      </c>
      <c r="C35" s="13"/>
      <c r="D35" s="13"/>
    </row>
    <row r="36" ht="30" customHeight="1" spans="2:4" x14ac:dyDescent="0.25">
      <c r="B36" s="13" t="s">
        <v>37</v>
      </c>
      <c r="C36" s="13"/>
      <c r="D36" s="13"/>
    </row>
    <row r="37" ht="30" customHeight="1" spans="2:4" x14ac:dyDescent="0.25">
      <c r="B37" s="13" t="s">
        <v>38</v>
      </c>
      <c r="C37" s="13"/>
      <c r="D37" s="13"/>
    </row>
    <row r="38" ht="30" customHeight="1" spans="2:4" x14ac:dyDescent="0.25">
      <c r="B38" s="13" t="s">
        <v>39</v>
      </c>
      <c r="C38" s="13"/>
      <c r="D38" s="13"/>
    </row>
    <row r="39" ht="30" customHeight="1" spans="2:4" x14ac:dyDescent="0.25">
      <c r="B39" s="13" t="s">
        <v>40</v>
      </c>
      <c r="C39" s="13"/>
      <c r="D39" s="13"/>
    </row>
    <row r="40" ht="30" customHeight="1" spans="2:4" x14ac:dyDescent="0.25">
      <c r="B40" s="13" t="s">
        <v>41</v>
      </c>
      <c r="C40" s="13"/>
      <c r="D40" s="13"/>
    </row>
  </sheetData>
  <mergeCells count="14">
    <mergeCell ref="B1:D1"/>
    <mergeCell ref="B2:D2"/>
    <mergeCell ref="C28:D28"/>
    <mergeCell ref="B30:D30"/>
    <mergeCell ref="B31:D31"/>
    <mergeCell ref="B32:D32"/>
    <mergeCell ref="B33:D33"/>
    <mergeCell ref="B34:D34"/>
    <mergeCell ref="B35:D35"/>
    <mergeCell ref="B36:D36"/>
    <mergeCell ref="B37:D37"/>
    <mergeCell ref="B38:D38"/>
    <mergeCell ref="B39:D39"/>
    <mergeCell ref="B40:D40"/>
  </mergeCells>
  <conditionalFormatting sqref="D4:D10">
    <cfRule type="expression" dxfId="0" priority="1">
      <formula>LEFT(D4,1)="⚠"</formula>
    </cfRule>
    <cfRule type="expression" dxfId="1" priority="2">
      <formula>LEFT(D4,1)="✓"</formula>
    </cfRule>
  </conditionalFormatting>
  <conditionalFormatting sqref="B13:C26">
    <cfRule type="expression" dxfId="2" priority="1">
      <formula>$C13="FILL OUT"</formula>
    </cfRule>
    <cfRule type="expression" dxfId="3" priority="2">
      <formula>$C13="NOT NEEDED"</formula>
    </cfRule>
    <cfRule type="expression" dxfId="4" priority="3">
      <formula>$C13="REFERENCE"</formula>
    </cfRule>
  </conditionalFormatting>
  <conditionalFormatting sqref="D13:D26">
    <cfRule type="expression" dxfId="5" priority="1">
      <formula>D13&lt;&gt;""</formula>
    </cfRule>
  </conditionalFormatting>
  <conditionalFormatting sqref="C28:D28">
    <cfRule type="expression" dxfId="6" priority="1">
      <formula>LEFT($C$28,1)="✓"</formula>
    </cfRule>
    <cfRule type="expression" dxfId="7" priority="2">
      <formula>LEFT($C$28,1)="⚠"</formula>
    </cfRule>
    <cfRule type="expression" dxfId="8" priority="3">
      <formula>$C$4=""</formula>
    </cfRule>
  </conditionalFormatting>
  <dataValidations count="6">
    <dataValidation type="list" allowBlank="1" showInputMessage="1" prompt="Single Workout = one workout. Program = several workouts arranged over weeks." showErrorMessage="1" errorStyle="stop" errorTitle="Pick from the list" error="Choose one of the options in the dropdown." sqref="C4">
      <formula1>Lists!$F$2:$F$3</formula1>
    </dataValidation>
    <dataValidation type="textLength" operator="lessThanOrEqual" allowBlank="1" showErrorMessage="1" error="200 characters or fewer." sqref="C5">
      <formula1>200</formula1>
    </dataValidation>
    <dataValidation type="textLength" operator="lessThanOrEqual" allowBlank="1" showErrorMessage="1" error="5000 characters or fewer." sqref="C6">
      <formula1>5000</formula1>
    </dataValidation>
    <dataValidation type="list" allowBlank="1" showErrorMessage="1" errorStyle="stop" errorTitle="Pick from the list" error="Choose one of the options in the dropdown." sqref="C7">
      <formula1>Lists!$G$2:$G$9</formula1>
    </dataValidation>
    <dataValidation type="whole" allowBlank="1" showErrorMessage="1" error="Enter a whole number from 1 to 52." sqref="C8">
      <formula1>1</formula1>
      <formula2>52</formula2>
    </dataValidation>
    <dataValidation type="whole" allowBlank="1" showErrorMessage="1" error="Enter a whole number from 1 to 12." sqref="C9">
      <formula1>1</formula1>
      <formula2>12</formula2>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A6EA5"/>
  </sheetPr>
  <dimension ref="A1:Q214"/>
  <sheetViews>
    <sheetView workbookViewId="0" showGridLines="0">
      <pane ySplit="4" topLeftCell="A5" activePane="bottomLeft" state="frozen"/>
      <selection pane="bottomLeft"/>
    </sheetView>
  </sheetViews>
  <sheetFormatPr defaultRowHeight="15" outlineLevelRow="0" outlineLevelCol="0" x14ac:dyDescent="55"/>
  <cols>
    <col min="1" max="1" width="2" customWidth="1"/>
    <col min="2" max="2" width="13" customWidth="1"/>
    <col min="3" max="3" width="18" customWidth="1"/>
    <col min="4" max="6" width="14" customWidth="1"/>
    <col min="7" max="7" width="40" customWidth="1"/>
    <col min="14" max="14" width="9" hidden="1" customWidth="1"/>
    <col min="15" max="15" width="9" hidden="1" customWidth="1"/>
    <col min="16" max="16" width="9" hidden="1" customWidth="1"/>
    <col min="17" max="17" width="9" hidden="1" customWidth="1"/>
  </cols>
  <sheetData>
    <row r="1" ht="30" customHeight="1" spans="1:15" x14ac:dyDescent="0.25">
      <c r="A1" s="14">
        <f>IF($O$1="FILL","✅  FILL OUT THIS SHEET — Workout 1",IF($O$1="SKIP","⛔  NOT NEEDED — leave this sheet blank","Start on the Start sheet: answer question 1 first"))</f>
      </c>
      <c r="B1" s="14"/>
      <c r="C1" s="14"/>
      <c r="D1" s="14"/>
      <c r="E1" s="14"/>
      <c r="F1" s="14"/>
      <c r="G1" s="14"/>
      <c r="O1">
        <f>IF(Start!$C$4="Single Workout","FILL",IF(Start!$C$4="Program",IF(1&lt;=N(Start!$C$9),"FILL","SKIP"),""))</f>
      </c>
    </row>
    <row r="2" spans="15:15" x14ac:dyDescent="0.25">
      <c r="O2">
        <f>IF($O$1="FILL",COUNTIF($G$3:$G$214,"⚠*"),0)</f>
      </c>
    </row>
    <row r="3" ht="26" customHeight="1" spans="2:7" x14ac:dyDescent="0.25">
      <c r="B3" s="15" t="s">
        <v>42</v>
      </c>
      <c r="C3" s="16"/>
      <c r="D3" s="16"/>
      <c r="E3" s="16"/>
      <c r="F3" s="16"/>
      <c r="G3" s="17">
        <f>IFERROR(IF($O$1&lt;&gt;"FILL","",IF($C$3="","⚠ Name this workout",IF($C$3="REST","⚠ REST is reserved for rest days — pick another name",IF(COUNTIF(Lists!$A$3:$A$14,$C$3)&gt;1,"⚠ Another workout has this name",IF(COUNTA($C$7,$C$8,$C$21,$C$22,$C$35,$C$36,$C$49,$C$50,$C$63,$C$64,$C$77,$C$78,$C$91,$C$92,$C$105,$C$106,$C$119,$C$120,$C$133,$C$134,$C$147,$C$148,$C$161,$C$162,$C$175,$C$176,$C$189,$C$190,$C$203,$C$204)=0,"⚠ Add at least one exercise","✓ Looks good"))))),"⚠ Check this row")</f>
      </c>
    </row>
    <row r="4" ht="30" customHeight="1" spans="2:6" x14ac:dyDescent="0.25">
      <c r="B4" s="15" t="s">
        <v>43</v>
      </c>
      <c r="C4" s="5"/>
      <c r="D4" s="5"/>
      <c r="E4" s="5"/>
      <c r="F4" s="5"/>
    </row>
    <row r="6" spans="2:6" x14ac:dyDescent="0.25">
      <c r="B6" s="18" t="s">
        <v>44</v>
      </c>
      <c r="C6" s="19"/>
      <c r="D6" s="19"/>
      <c r="E6" s="5"/>
      <c r="F6" s="5"/>
    </row>
    <row r="7" ht="24" customHeight="1" spans="2:16" x14ac:dyDescent="0.25">
      <c r="B7" s="20" t="s">
        <v>45</v>
      </c>
      <c r="C7" s="21"/>
      <c r="D7" s="21"/>
      <c r="E7" s="21"/>
      <c r="F7" s="21"/>
      <c r="G7" s="4">
        <f>IFERROR(IF(AND($C$7="",$C$8=""),IF(COUNTA($C$6:$F$6,$E$9,$C$11:$F$18)+COUNTA($E$8,$C$9)&gt;0,"⚠ Pick an exercise for this card",""),IF(AND($C$7&lt;&gt;"",$C$8&lt;&gt;""),"⚠ Use the library OR a custom exercise, not both",IF(AND($C$8&lt;&gt;"",$E$8=""),"⚠ Pick a muscle group for the custom exercise",IF(COUNT($E$11:$E$18)=0,"⚠ Enter Goal Reps for at least one set",IF(SUM($Q$11:$Q$18)&gt;0,"⚠ A set is missing Goal Reps",IF(IF($C$9="",1=0,COUNTIF($P$7:$P$214,$C$9)&lt;2),"⚠ Superset "&amp;$C$9&amp;" needs 2+ exercises",IF($C$7&lt;&gt;"",IFERROR("✓ "&amp;INDEX('Exercise Library'!$C$2:$C$319,MATCH($C$7,'Exercise Library'!$B$2:$B$319,0))&amp;IF(INDEX('Exercise Library'!$D$2:$D$319,MATCH($C$7,'Exercise Library'!$B$2:$B$319,0))="Yes"," · demo video","")&amp;" · "&amp;COUNT($E$11:$E$18)&amp;" sets","⚠ Not in the library — use Custom"),"✓ Custom ("&amp;$E$8&amp;") · "&amp;COUNT($E$11:$E$18)&amp;" sets"))))))),"⚠ Check this row")</f>
      </c>
      <c r="P7">
        <f>IF(OR($C$7&lt;&gt;"",$C$8&lt;&gt;""),$C$9,"")</f>
      </c>
    </row>
    <row r="8" spans="2:6" x14ac:dyDescent="0.25">
      <c r="B8" s="18" t="s">
        <v>46</v>
      </c>
      <c r="C8" s="5"/>
      <c r="D8" s="5"/>
      <c r="E8" s="5"/>
      <c r="F8" s="18" t="s">
        <v>47</v>
      </c>
    </row>
    <row r="9" ht="22" customHeight="1" spans="2:6" x14ac:dyDescent="0.25">
      <c r="B9" s="18" t="s">
        <v>48</v>
      </c>
      <c r="C9" s="22"/>
      <c r="D9" s="18" t="s">
        <v>49</v>
      </c>
      <c r="E9" s="5"/>
      <c r="F9" s="5"/>
    </row>
    <row r="10" spans="2:6" x14ac:dyDescent="0.25">
      <c r="B10" s="23" t="s">
        <v>50</v>
      </c>
      <c r="C10" s="23" t="s">
        <v>51</v>
      </c>
      <c r="D10" s="23" t="s">
        <v>52</v>
      </c>
      <c r="E10" s="23" t="s">
        <v>53</v>
      </c>
      <c r="F10" s="23" t="s">
        <v>54</v>
      </c>
    </row>
    <row r="11" spans="2:17" x14ac:dyDescent="0.25">
      <c r="B11" s="24">
        <v>1</v>
      </c>
      <c r="C11" s="22"/>
      <c r="D11" s="22"/>
      <c r="E11" s="22"/>
      <c r="F11" s="22"/>
      <c r="Q11">
        <f>IF(AND($E11="",COUNTA($C11:$D11,$F11)&gt;0),1,0)</f>
      </c>
    </row>
    <row r="12" spans="2:17" x14ac:dyDescent="0.25">
      <c r="B12" s="24">
        <v>2</v>
      </c>
      <c r="C12" s="22"/>
      <c r="D12" s="22"/>
      <c r="E12" s="22"/>
      <c r="F12" s="22"/>
      <c r="Q12">
        <f>IF(AND($E12="",COUNTA($C12:$D12,$F12)&gt;0),1,0)</f>
      </c>
    </row>
    <row r="13" spans="2:17" x14ac:dyDescent="0.25">
      <c r="B13" s="24">
        <v>3</v>
      </c>
      <c r="C13" s="22"/>
      <c r="D13" s="22"/>
      <c r="E13" s="22"/>
      <c r="F13" s="22"/>
      <c r="Q13">
        <f>IF(AND($E13="",COUNTA($C13:$D13,$F13)&gt;0),1,0)</f>
      </c>
    </row>
    <row r="14" spans="2:17" x14ac:dyDescent="0.25">
      <c r="B14" s="24">
        <v>4</v>
      </c>
      <c r="C14" s="22"/>
      <c r="D14" s="22"/>
      <c r="E14" s="22"/>
      <c r="F14" s="22"/>
      <c r="Q14">
        <f>IF(AND($E14="",COUNTA($C14:$D14,$F14)&gt;0),1,0)</f>
      </c>
    </row>
    <row r="15" spans="2:17" x14ac:dyDescent="0.25">
      <c r="B15" s="24">
        <v>5</v>
      </c>
      <c r="C15" s="22"/>
      <c r="D15" s="22"/>
      <c r="E15" s="22"/>
      <c r="F15" s="22"/>
      <c r="Q15">
        <f>IF(AND($E15="",COUNTA($C15:$D15,$F15)&gt;0),1,0)</f>
      </c>
    </row>
    <row r="16" spans="2:17" x14ac:dyDescent="0.25">
      <c r="B16" s="24">
        <v>6</v>
      </c>
      <c r="C16" s="22"/>
      <c r="D16" s="22"/>
      <c r="E16" s="22"/>
      <c r="F16" s="22"/>
      <c r="Q16">
        <f>IF(AND($E16="",COUNTA($C16:$D16,$F16)&gt;0),1,0)</f>
      </c>
    </row>
    <row r="17" spans="2:17" x14ac:dyDescent="0.25">
      <c r="B17" s="24">
        <v>7</v>
      </c>
      <c r="C17" s="22"/>
      <c r="D17" s="22"/>
      <c r="E17" s="22"/>
      <c r="F17" s="22"/>
      <c r="Q17">
        <f>IF(AND($E17="",COUNTA($C17:$D17,$F17)&gt;0),1,0)</f>
      </c>
    </row>
    <row r="18" spans="2:17" x14ac:dyDescent="0.25">
      <c r="B18" s="24">
        <v>8</v>
      </c>
      <c r="C18" s="22"/>
      <c r="D18" s="22"/>
      <c r="E18" s="22"/>
      <c r="F18" s="22"/>
      <c r="Q18">
        <f>IF(AND($E18="",COUNTA($C18:$D18,$F18)&gt;0),1,0)</f>
      </c>
    </row>
    <row r="20" spans="2:6" x14ac:dyDescent="0.25">
      <c r="B20" s="18" t="s">
        <v>44</v>
      </c>
      <c r="C20" s="19"/>
      <c r="D20" s="19"/>
      <c r="E20" s="5"/>
      <c r="F20" s="5"/>
    </row>
    <row r="21" ht="24" customHeight="1" spans="2:16" x14ac:dyDescent="0.25">
      <c r="B21" s="20" t="s">
        <v>55</v>
      </c>
      <c r="C21" s="21"/>
      <c r="D21" s="21"/>
      <c r="E21" s="21"/>
      <c r="F21" s="21"/>
      <c r="G21" s="4">
        <f>IFERROR(IF(AND($C$21="",$C$22=""),IF(COUNTA($C$20:$F$20,$E$23,$C$25:$F$32)+COUNTA($E$22,$C$23)&gt;0,"⚠ Pick an exercise for this card",""),IF(AND($C$21&lt;&gt;"",$C$22&lt;&gt;""),"⚠ Use the library OR a custom exercise, not both",IF(AND($C$22&lt;&gt;"",$E$22=""),"⚠ Pick a muscle group for the custom exercise",IF(COUNT($E$25:$E$32)=0,"⚠ Enter Goal Reps for at least one set",IF(SUM($Q$25:$Q$32)&gt;0,"⚠ A set is missing Goal Reps",IF(IF($C$23="",1=0,COUNTIF($P$7:$P$214,$C$23)&lt;2),"⚠ Superset "&amp;$C$23&amp;" needs 2+ exercises",IF($C$21&lt;&gt;"",IFERROR("✓ "&amp;INDEX('Exercise Library'!$C$2:$C$319,MATCH($C$21,'Exercise Library'!$B$2:$B$319,0))&amp;IF(INDEX('Exercise Library'!$D$2:$D$319,MATCH($C$21,'Exercise Library'!$B$2:$B$319,0))="Yes"," · demo video","")&amp;" · "&amp;COUNT($E$25:$E$32)&amp;" sets","⚠ Not in the library — use Custom"),"✓ Custom ("&amp;$E$22&amp;") · "&amp;COUNT($E$25:$E$32)&amp;" sets"))))))),"⚠ Check this row")</f>
      </c>
      <c r="P21">
        <f>IF(OR($C$21&lt;&gt;"",$C$22&lt;&gt;""),$C$23,"")</f>
      </c>
    </row>
    <row r="22" spans="2:6" x14ac:dyDescent="0.25">
      <c r="B22" s="18" t="s">
        <v>46</v>
      </c>
      <c r="C22" s="5"/>
      <c r="D22" s="5"/>
      <c r="E22" s="5"/>
      <c r="F22" s="18" t="s">
        <v>47</v>
      </c>
    </row>
    <row r="23" ht="22" customHeight="1" spans="2:6" x14ac:dyDescent="0.25">
      <c r="B23" s="18" t="s">
        <v>48</v>
      </c>
      <c r="C23" s="22"/>
      <c r="D23" s="18" t="s">
        <v>49</v>
      </c>
      <c r="E23" s="5"/>
      <c r="F23" s="5"/>
    </row>
    <row r="24" spans="2:6" x14ac:dyDescent="0.25">
      <c r="B24" s="23" t="s">
        <v>50</v>
      </c>
      <c r="C24" s="23" t="s">
        <v>51</v>
      </c>
      <c r="D24" s="23" t="s">
        <v>52</v>
      </c>
      <c r="E24" s="23" t="s">
        <v>53</v>
      </c>
      <c r="F24" s="23" t="s">
        <v>54</v>
      </c>
    </row>
    <row r="25" spans="2:17" x14ac:dyDescent="0.25">
      <c r="B25" s="24">
        <v>1</v>
      </c>
      <c r="C25" s="22"/>
      <c r="D25" s="22"/>
      <c r="E25" s="22"/>
      <c r="F25" s="22"/>
      <c r="Q25">
        <f>IF(AND($E25="",COUNTA($C25:$D25,$F25)&gt;0),1,0)</f>
      </c>
    </row>
    <row r="26" spans="2:17" x14ac:dyDescent="0.25">
      <c r="B26" s="24">
        <v>2</v>
      </c>
      <c r="C26" s="22"/>
      <c r="D26" s="22"/>
      <c r="E26" s="22"/>
      <c r="F26" s="22"/>
      <c r="Q26">
        <f>IF(AND($E26="",COUNTA($C26:$D26,$F26)&gt;0),1,0)</f>
      </c>
    </row>
    <row r="27" spans="2:17" x14ac:dyDescent="0.25">
      <c r="B27" s="24">
        <v>3</v>
      </c>
      <c r="C27" s="22"/>
      <c r="D27" s="22"/>
      <c r="E27" s="22"/>
      <c r="F27" s="22"/>
      <c r="Q27">
        <f>IF(AND($E27="",COUNTA($C27:$D27,$F27)&gt;0),1,0)</f>
      </c>
    </row>
    <row r="28" spans="2:17" x14ac:dyDescent="0.25">
      <c r="B28" s="24">
        <v>4</v>
      </c>
      <c r="C28" s="22"/>
      <c r="D28" s="22"/>
      <c r="E28" s="22"/>
      <c r="F28" s="22"/>
      <c r="Q28">
        <f>IF(AND($E28="",COUNTA($C28:$D28,$F28)&gt;0),1,0)</f>
      </c>
    </row>
    <row r="29" spans="2:17" x14ac:dyDescent="0.25">
      <c r="B29" s="24">
        <v>5</v>
      </c>
      <c r="C29" s="22"/>
      <c r="D29" s="22"/>
      <c r="E29" s="22"/>
      <c r="F29" s="22"/>
      <c r="Q29">
        <f>IF(AND($E29="",COUNTA($C29:$D29,$F29)&gt;0),1,0)</f>
      </c>
    </row>
    <row r="30" spans="2:17" x14ac:dyDescent="0.25">
      <c r="B30" s="24">
        <v>6</v>
      </c>
      <c r="C30" s="22"/>
      <c r="D30" s="22"/>
      <c r="E30" s="22"/>
      <c r="F30" s="22"/>
      <c r="Q30">
        <f>IF(AND($E30="",COUNTA($C30:$D30,$F30)&gt;0),1,0)</f>
      </c>
    </row>
    <row r="31" spans="2:17" x14ac:dyDescent="0.25">
      <c r="B31" s="24">
        <v>7</v>
      </c>
      <c r="C31" s="22"/>
      <c r="D31" s="22"/>
      <c r="E31" s="22"/>
      <c r="F31" s="22"/>
      <c r="Q31">
        <f>IF(AND($E31="",COUNTA($C31:$D31,$F31)&gt;0),1,0)</f>
      </c>
    </row>
    <row r="32" spans="2:17" x14ac:dyDescent="0.25">
      <c r="B32" s="24">
        <v>8</v>
      </c>
      <c r="C32" s="22"/>
      <c r="D32" s="22"/>
      <c r="E32" s="22"/>
      <c r="F32" s="22"/>
      <c r="Q32">
        <f>IF(AND($E32="",COUNTA($C32:$D32,$F32)&gt;0),1,0)</f>
      </c>
    </row>
    <row r="34" spans="2:6" x14ac:dyDescent="0.25">
      <c r="B34" s="18" t="s">
        <v>44</v>
      </c>
      <c r="C34" s="19"/>
      <c r="D34" s="19"/>
      <c r="E34" s="5"/>
      <c r="F34" s="5"/>
    </row>
    <row r="35" ht="24" customHeight="1" spans="2:16" x14ac:dyDescent="0.25">
      <c r="B35" s="20" t="s">
        <v>56</v>
      </c>
      <c r="C35" s="21"/>
      <c r="D35" s="21"/>
      <c r="E35" s="21"/>
      <c r="F35" s="21"/>
      <c r="G35" s="4">
        <f>IFERROR(IF(AND($C$35="",$C$36=""),IF(COUNTA($C$34:$F$34,$E$37,$C$39:$F$46)+COUNTA($E$36,$C$37)&gt;0,"⚠ Pick an exercise for this card",""),IF(AND($C$35&lt;&gt;"",$C$36&lt;&gt;""),"⚠ Use the library OR a custom exercise, not both",IF(AND($C$36&lt;&gt;"",$E$36=""),"⚠ Pick a muscle group for the custom exercise",IF(COUNT($E$39:$E$46)=0,"⚠ Enter Goal Reps for at least one set",IF(SUM($Q$39:$Q$46)&gt;0,"⚠ A set is missing Goal Reps",IF(IF($C$37="",1=0,COUNTIF($P$7:$P$214,$C$37)&lt;2),"⚠ Superset "&amp;$C$37&amp;" needs 2+ exercises",IF($C$35&lt;&gt;"",IFERROR("✓ "&amp;INDEX('Exercise Library'!$C$2:$C$319,MATCH($C$35,'Exercise Library'!$B$2:$B$319,0))&amp;IF(INDEX('Exercise Library'!$D$2:$D$319,MATCH($C$35,'Exercise Library'!$B$2:$B$319,0))="Yes"," · demo video","")&amp;" · "&amp;COUNT($E$39:$E$46)&amp;" sets","⚠ Not in the library — use Custom"),"✓ Custom ("&amp;$E$36&amp;") · "&amp;COUNT($E$39:$E$46)&amp;" sets"))))))),"⚠ Check this row")</f>
      </c>
      <c r="P35">
        <f>IF(OR($C$35&lt;&gt;"",$C$36&lt;&gt;""),$C$37,"")</f>
      </c>
    </row>
    <row r="36" spans="2:6" x14ac:dyDescent="0.25">
      <c r="B36" s="18" t="s">
        <v>46</v>
      </c>
      <c r="C36" s="5"/>
      <c r="D36" s="5"/>
      <c r="E36" s="5"/>
      <c r="F36" s="18" t="s">
        <v>47</v>
      </c>
    </row>
    <row r="37" ht="22" customHeight="1" spans="2:6" x14ac:dyDescent="0.25">
      <c r="B37" s="18" t="s">
        <v>48</v>
      </c>
      <c r="C37" s="22"/>
      <c r="D37" s="18" t="s">
        <v>49</v>
      </c>
      <c r="E37" s="5"/>
      <c r="F37" s="5"/>
    </row>
    <row r="38" spans="2:6" x14ac:dyDescent="0.25">
      <c r="B38" s="23" t="s">
        <v>50</v>
      </c>
      <c r="C38" s="23" t="s">
        <v>51</v>
      </c>
      <c r="D38" s="23" t="s">
        <v>52</v>
      </c>
      <c r="E38" s="23" t="s">
        <v>53</v>
      </c>
      <c r="F38" s="23" t="s">
        <v>54</v>
      </c>
    </row>
    <row r="39" spans="2:17" x14ac:dyDescent="0.25">
      <c r="B39" s="24">
        <v>1</v>
      </c>
      <c r="C39" s="22"/>
      <c r="D39" s="22"/>
      <c r="E39" s="22"/>
      <c r="F39" s="22"/>
      <c r="Q39">
        <f>IF(AND($E39="",COUNTA($C39:$D39,$F39)&gt;0),1,0)</f>
      </c>
    </row>
    <row r="40" spans="2:17" x14ac:dyDescent="0.25">
      <c r="B40" s="24">
        <v>2</v>
      </c>
      <c r="C40" s="22"/>
      <c r="D40" s="22"/>
      <c r="E40" s="22"/>
      <c r="F40" s="22"/>
      <c r="Q40">
        <f>IF(AND($E40="",COUNTA($C40:$D40,$F40)&gt;0),1,0)</f>
      </c>
    </row>
    <row r="41" spans="2:17" x14ac:dyDescent="0.25">
      <c r="B41" s="24">
        <v>3</v>
      </c>
      <c r="C41" s="22"/>
      <c r="D41" s="22"/>
      <c r="E41" s="22"/>
      <c r="F41" s="22"/>
      <c r="Q41">
        <f>IF(AND($E41="",COUNTA($C41:$D41,$F41)&gt;0),1,0)</f>
      </c>
    </row>
    <row r="42" spans="2:17" x14ac:dyDescent="0.25">
      <c r="B42" s="24">
        <v>4</v>
      </c>
      <c r="C42" s="22"/>
      <c r="D42" s="22"/>
      <c r="E42" s="22"/>
      <c r="F42" s="22"/>
      <c r="Q42">
        <f>IF(AND($E42="",COUNTA($C42:$D42,$F42)&gt;0),1,0)</f>
      </c>
    </row>
    <row r="43" spans="2:17" x14ac:dyDescent="0.25">
      <c r="B43" s="24">
        <v>5</v>
      </c>
      <c r="C43" s="22"/>
      <c r="D43" s="22"/>
      <c r="E43" s="22"/>
      <c r="F43" s="22"/>
      <c r="Q43">
        <f>IF(AND($E43="",COUNTA($C43:$D43,$F43)&gt;0),1,0)</f>
      </c>
    </row>
    <row r="44" spans="2:17" x14ac:dyDescent="0.25">
      <c r="B44" s="24">
        <v>6</v>
      </c>
      <c r="C44" s="22"/>
      <c r="D44" s="22"/>
      <c r="E44" s="22"/>
      <c r="F44" s="22"/>
      <c r="Q44">
        <f>IF(AND($E44="",COUNTA($C44:$D44,$F44)&gt;0),1,0)</f>
      </c>
    </row>
    <row r="45" spans="2:17" x14ac:dyDescent="0.25">
      <c r="B45" s="24">
        <v>7</v>
      </c>
      <c r="C45" s="22"/>
      <c r="D45" s="22"/>
      <c r="E45" s="22"/>
      <c r="F45" s="22"/>
      <c r="Q45">
        <f>IF(AND($E45="",COUNTA($C45:$D45,$F45)&gt;0),1,0)</f>
      </c>
    </row>
    <row r="46" spans="2:17" x14ac:dyDescent="0.25">
      <c r="B46" s="24">
        <v>8</v>
      </c>
      <c r="C46" s="22"/>
      <c r="D46" s="22"/>
      <c r="E46" s="22"/>
      <c r="F46" s="22"/>
      <c r="Q46">
        <f>IF(AND($E46="",COUNTA($C46:$D46,$F46)&gt;0),1,0)</f>
      </c>
    </row>
    <row r="48" spans="2:6" x14ac:dyDescent="0.25">
      <c r="B48" s="18" t="s">
        <v>44</v>
      </c>
      <c r="C48" s="19"/>
      <c r="D48" s="19"/>
      <c r="E48" s="5"/>
      <c r="F48" s="5"/>
    </row>
    <row r="49" ht="24" customHeight="1" spans="2:16" x14ac:dyDescent="0.25">
      <c r="B49" s="20" t="s">
        <v>57</v>
      </c>
      <c r="C49" s="21"/>
      <c r="D49" s="21"/>
      <c r="E49" s="21"/>
      <c r="F49" s="21"/>
      <c r="G49" s="4">
        <f>IFERROR(IF(AND($C$49="",$C$50=""),IF(COUNTA($C$48:$F$48,$E$51,$C$53:$F$60)+COUNTA($E$50,$C$51)&gt;0,"⚠ Pick an exercise for this card",""),IF(AND($C$49&lt;&gt;"",$C$50&lt;&gt;""),"⚠ Use the library OR a custom exercise, not both",IF(AND($C$50&lt;&gt;"",$E$50=""),"⚠ Pick a muscle group for the custom exercise",IF(COUNT($E$53:$E$60)=0,"⚠ Enter Goal Reps for at least one set",IF(SUM($Q$53:$Q$60)&gt;0,"⚠ A set is missing Goal Reps",IF(IF($C$51="",1=0,COUNTIF($P$7:$P$214,$C$51)&lt;2),"⚠ Superset "&amp;$C$51&amp;" needs 2+ exercises",IF($C$49&lt;&gt;"",IFERROR("✓ "&amp;INDEX('Exercise Library'!$C$2:$C$319,MATCH($C$49,'Exercise Library'!$B$2:$B$319,0))&amp;IF(INDEX('Exercise Library'!$D$2:$D$319,MATCH($C$49,'Exercise Library'!$B$2:$B$319,0))="Yes"," · demo video","")&amp;" · "&amp;COUNT($E$53:$E$60)&amp;" sets","⚠ Not in the library — use Custom"),"✓ Custom ("&amp;$E$50&amp;") · "&amp;COUNT($E$53:$E$60)&amp;" sets"))))))),"⚠ Check this row")</f>
      </c>
      <c r="P49">
        <f>IF(OR($C$49&lt;&gt;"",$C$50&lt;&gt;""),$C$51,"")</f>
      </c>
    </row>
    <row r="50" spans="2:6" x14ac:dyDescent="0.25">
      <c r="B50" s="18" t="s">
        <v>46</v>
      </c>
      <c r="C50" s="5"/>
      <c r="D50" s="5"/>
      <c r="E50" s="5"/>
      <c r="F50" s="18" t="s">
        <v>47</v>
      </c>
    </row>
    <row r="51" ht="22" customHeight="1" spans="2:6" x14ac:dyDescent="0.25">
      <c r="B51" s="18" t="s">
        <v>48</v>
      </c>
      <c r="C51" s="22"/>
      <c r="D51" s="18" t="s">
        <v>49</v>
      </c>
      <c r="E51" s="5"/>
      <c r="F51" s="5"/>
    </row>
    <row r="52" spans="2:6" x14ac:dyDescent="0.25">
      <c r="B52" s="23" t="s">
        <v>50</v>
      </c>
      <c r="C52" s="23" t="s">
        <v>51</v>
      </c>
      <c r="D52" s="23" t="s">
        <v>52</v>
      </c>
      <c r="E52" s="23" t="s">
        <v>53</v>
      </c>
      <c r="F52" s="23" t="s">
        <v>54</v>
      </c>
    </row>
    <row r="53" spans="2:17" x14ac:dyDescent="0.25">
      <c r="B53" s="24">
        <v>1</v>
      </c>
      <c r="C53" s="22"/>
      <c r="D53" s="22"/>
      <c r="E53" s="22"/>
      <c r="F53" s="22"/>
      <c r="Q53">
        <f>IF(AND($E53="",COUNTA($C53:$D53,$F53)&gt;0),1,0)</f>
      </c>
    </row>
    <row r="54" spans="2:17" x14ac:dyDescent="0.25">
      <c r="B54" s="24">
        <v>2</v>
      </c>
      <c r="C54" s="22"/>
      <c r="D54" s="22"/>
      <c r="E54" s="22"/>
      <c r="F54" s="22"/>
      <c r="Q54">
        <f>IF(AND($E54="",COUNTA($C54:$D54,$F54)&gt;0),1,0)</f>
      </c>
    </row>
    <row r="55" spans="2:17" x14ac:dyDescent="0.25">
      <c r="B55" s="24">
        <v>3</v>
      </c>
      <c r="C55" s="22"/>
      <c r="D55" s="22"/>
      <c r="E55" s="22"/>
      <c r="F55" s="22"/>
      <c r="Q55">
        <f>IF(AND($E55="",COUNTA($C55:$D55,$F55)&gt;0),1,0)</f>
      </c>
    </row>
    <row r="56" spans="2:17" x14ac:dyDescent="0.25">
      <c r="B56" s="24">
        <v>4</v>
      </c>
      <c r="C56" s="22"/>
      <c r="D56" s="22"/>
      <c r="E56" s="22"/>
      <c r="F56" s="22"/>
      <c r="Q56">
        <f>IF(AND($E56="",COUNTA($C56:$D56,$F56)&gt;0),1,0)</f>
      </c>
    </row>
    <row r="57" spans="2:17" x14ac:dyDescent="0.25">
      <c r="B57" s="24">
        <v>5</v>
      </c>
      <c r="C57" s="22"/>
      <c r="D57" s="22"/>
      <c r="E57" s="22"/>
      <c r="F57" s="22"/>
      <c r="Q57">
        <f>IF(AND($E57="",COUNTA($C57:$D57,$F57)&gt;0),1,0)</f>
      </c>
    </row>
    <row r="58" spans="2:17" x14ac:dyDescent="0.25">
      <c r="B58" s="24">
        <v>6</v>
      </c>
      <c r="C58" s="22"/>
      <c r="D58" s="22"/>
      <c r="E58" s="22"/>
      <c r="F58" s="22"/>
      <c r="Q58">
        <f>IF(AND($E58="",COUNTA($C58:$D58,$F58)&gt;0),1,0)</f>
      </c>
    </row>
    <row r="59" spans="2:17" x14ac:dyDescent="0.25">
      <c r="B59" s="24">
        <v>7</v>
      </c>
      <c r="C59" s="22"/>
      <c r="D59" s="22"/>
      <c r="E59" s="22"/>
      <c r="F59" s="22"/>
      <c r="Q59">
        <f>IF(AND($E59="",COUNTA($C59:$D59,$F59)&gt;0),1,0)</f>
      </c>
    </row>
    <row r="60" spans="2:17" x14ac:dyDescent="0.25">
      <c r="B60" s="24">
        <v>8</v>
      </c>
      <c r="C60" s="22"/>
      <c r="D60" s="22"/>
      <c r="E60" s="22"/>
      <c r="F60" s="22"/>
      <c r="Q60">
        <f>IF(AND($E60="",COUNTA($C60:$D60,$F60)&gt;0),1,0)</f>
      </c>
    </row>
    <row r="62" spans="2:6" x14ac:dyDescent="0.25">
      <c r="B62" s="18" t="s">
        <v>44</v>
      </c>
      <c r="C62" s="19"/>
      <c r="D62" s="19"/>
      <c r="E62" s="5"/>
      <c r="F62" s="5"/>
    </row>
    <row r="63" ht="24" customHeight="1" spans="2:16" x14ac:dyDescent="0.25">
      <c r="B63" s="20" t="s">
        <v>58</v>
      </c>
      <c r="C63" s="21"/>
      <c r="D63" s="21"/>
      <c r="E63" s="21"/>
      <c r="F63" s="21"/>
      <c r="G63" s="4">
        <f>IFERROR(IF(AND($C$63="",$C$64=""),IF(COUNTA($C$62:$F$62,$E$65,$C$67:$F$74)+COUNTA($E$64,$C$65)&gt;0,"⚠ Pick an exercise for this card",""),IF(AND($C$63&lt;&gt;"",$C$64&lt;&gt;""),"⚠ Use the library OR a custom exercise, not both",IF(AND($C$64&lt;&gt;"",$E$64=""),"⚠ Pick a muscle group for the custom exercise",IF(COUNT($E$67:$E$74)=0,"⚠ Enter Goal Reps for at least one set",IF(SUM($Q$67:$Q$74)&gt;0,"⚠ A set is missing Goal Reps",IF(IF($C$65="",1=0,COUNTIF($P$7:$P$214,$C$65)&lt;2),"⚠ Superset "&amp;$C$65&amp;" needs 2+ exercises",IF($C$63&lt;&gt;"",IFERROR("✓ "&amp;INDEX('Exercise Library'!$C$2:$C$319,MATCH($C$63,'Exercise Library'!$B$2:$B$319,0))&amp;IF(INDEX('Exercise Library'!$D$2:$D$319,MATCH($C$63,'Exercise Library'!$B$2:$B$319,0))="Yes"," · demo video","")&amp;" · "&amp;COUNT($E$67:$E$74)&amp;" sets","⚠ Not in the library — use Custom"),"✓ Custom ("&amp;$E$64&amp;") · "&amp;COUNT($E$67:$E$74)&amp;" sets"))))))),"⚠ Check this row")</f>
      </c>
      <c r="P63">
        <f>IF(OR($C$63&lt;&gt;"",$C$64&lt;&gt;""),$C$65,"")</f>
      </c>
    </row>
    <row r="64" spans="2:6" x14ac:dyDescent="0.25">
      <c r="B64" s="18" t="s">
        <v>46</v>
      </c>
      <c r="C64" s="5"/>
      <c r="D64" s="5"/>
      <c r="E64" s="5"/>
      <c r="F64" s="18" t="s">
        <v>47</v>
      </c>
    </row>
    <row r="65" ht="22" customHeight="1" spans="2:6" x14ac:dyDescent="0.25">
      <c r="B65" s="18" t="s">
        <v>48</v>
      </c>
      <c r="C65" s="22"/>
      <c r="D65" s="18" t="s">
        <v>49</v>
      </c>
      <c r="E65" s="5"/>
      <c r="F65" s="5"/>
    </row>
    <row r="66" spans="2:6" x14ac:dyDescent="0.25">
      <c r="B66" s="23" t="s">
        <v>50</v>
      </c>
      <c r="C66" s="23" t="s">
        <v>51</v>
      </c>
      <c r="D66" s="23" t="s">
        <v>52</v>
      </c>
      <c r="E66" s="23" t="s">
        <v>53</v>
      </c>
      <c r="F66" s="23" t="s">
        <v>54</v>
      </c>
    </row>
    <row r="67" spans="2:17" x14ac:dyDescent="0.25">
      <c r="B67" s="24">
        <v>1</v>
      </c>
      <c r="C67" s="22"/>
      <c r="D67" s="22"/>
      <c r="E67" s="22"/>
      <c r="F67" s="22"/>
      <c r="Q67">
        <f>IF(AND($E67="",COUNTA($C67:$D67,$F67)&gt;0),1,0)</f>
      </c>
    </row>
    <row r="68" spans="2:17" x14ac:dyDescent="0.25">
      <c r="B68" s="24">
        <v>2</v>
      </c>
      <c r="C68" s="22"/>
      <c r="D68" s="22"/>
      <c r="E68" s="22"/>
      <c r="F68" s="22"/>
      <c r="Q68">
        <f>IF(AND($E68="",COUNTA($C68:$D68,$F68)&gt;0),1,0)</f>
      </c>
    </row>
    <row r="69" spans="2:17" x14ac:dyDescent="0.25">
      <c r="B69" s="24">
        <v>3</v>
      </c>
      <c r="C69" s="22"/>
      <c r="D69" s="22"/>
      <c r="E69" s="22"/>
      <c r="F69" s="22"/>
      <c r="Q69">
        <f>IF(AND($E69="",COUNTA($C69:$D69,$F69)&gt;0),1,0)</f>
      </c>
    </row>
    <row r="70" spans="2:17" x14ac:dyDescent="0.25">
      <c r="B70" s="24">
        <v>4</v>
      </c>
      <c r="C70" s="22"/>
      <c r="D70" s="22"/>
      <c r="E70" s="22"/>
      <c r="F70" s="22"/>
      <c r="Q70">
        <f>IF(AND($E70="",COUNTA($C70:$D70,$F70)&gt;0),1,0)</f>
      </c>
    </row>
    <row r="71" spans="2:17" x14ac:dyDescent="0.25">
      <c r="B71" s="24">
        <v>5</v>
      </c>
      <c r="C71" s="22"/>
      <c r="D71" s="22"/>
      <c r="E71" s="22"/>
      <c r="F71" s="22"/>
      <c r="Q71">
        <f>IF(AND($E71="",COUNTA($C71:$D71,$F71)&gt;0),1,0)</f>
      </c>
    </row>
    <row r="72" spans="2:17" x14ac:dyDescent="0.25">
      <c r="B72" s="24">
        <v>6</v>
      </c>
      <c r="C72" s="22"/>
      <c r="D72" s="22"/>
      <c r="E72" s="22"/>
      <c r="F72" s="22"/>
      <c r="Q72">
        <f>IF(AND($E72="",COUNTA($C72:$D72,$F72)&gt;0),1,0)</f>
      </c>
    </row>
    <row r="73" spans="2:17" x14ac:dyDescent="0.25">
      <c r="B73" s="24">
        <v>7</v>
      </c>
      <c r="C73" s="22"/>
      <c r="D73" s="22"/>
      <c r="E73" s="22"/>
      <c r="F73" s="22"/>
      <c r="Q73">
        <f>IF(AND($E73="",COUNTA($C73:$D73,$F73)&gt;0),1,0)</f>
      </c>
    </row>
    <row r="74" spans="2:17" x14ac:dyDescent="0.25">
      <c r="B74" s="24">
        <v>8</v>
      </c>
      <c r="C74" s="22"/>
      <c r="D74" s="22"/>
      <c r="E74" s="22"/>
      <c r="F74" s="22"/>
      <c r="Q74">
        <f>IF(AND($E74="",COUNTA($C74:$D74,$F74)&gt;0),1,0)</f>
      </c>
    </row>
    <row r="76" spans="2:6" x14ac:dyDescent="0.25">
      <c r="B76" s="18" t="s">
        <v>44</v>
      </c>
      <c r="C76" s="19"/>
      <c r="D76" s="19"/>
      <c r="E76" s="5"/>
      <c r="F76" s="5"/>
    </row>
    <row r="77" ht="24" customHeight="1" spans="2:16" x14ac:dyDescent="0.25">
      <c r="B77" s="20" t="s">
        <v>59</v>
      </c>
      <c r="C77" s="21"/>
      <c r="D77" s="21"/>
      <c r="E77" s="21"/>
      <c r="F77" s="21"/>
      <c r="G77" s="4">
        <f>IFERROR(IF(AND($C$77="",$C$78=""),IF(COUNTA($C$76:$F$76,$E$79,$C$81:$F$88)+COUNTA($E$78,$C$79)&gt;0,"⚠ Pick an exercise for this card",""),IF(AND($C$77&lt;&gt;"",$C$78&lt;&gt;""),"⚠ Use the library OR a custom exercise, not both",IF(AND($C$78&lt;&gt;"",$E$78=""),"⚠ Pick a muscle group for the custom exercise",IF(COUNT($E$81:$E$88)=0,"⚠ Enter Goal Reps for at least one set",IF(SUM($Q$81:$Q$88)&gt;0,"⚠ A set is missing Goal Reps",IF(IF($C$79="",1=0,COUNTIF($P$7:$P$214,$C$79)&lt;2),"⚠ Superset "&amp;$C$79&amp;" needs 2+ exercises",IF($C$77&lt;&gt;"",IFERROR("✓ "&amp;INDEX('Exercise Library'!$C$2:$C$319,MATCH($C$77,'Exercise Library'!$B$2:$B$319,0))&amp;IF(INDEX('Exercise Library'!$D$2:$D$319,MATCH($C$77,'Exercise Library'!$B$2:$B$319,0))="Yes"," · demo video","")&amp;" · "&amp;COUNT($E$81:$E$88)&amp;" sets","⚠ Not in the library — use Custom"),"✓ Custom ("&amp;$E$78&amp;") · "&amp;COUNT($E$81:$E$88)&amp;" sets"))))))),"⚠ Check this row")</f>
      </c>
      <c r="P77">
        <f>IF(OR($C$77&lt;&gt;"",$C$78&lt;&gt;""),$C$79,"")</f>
      </c>
    </row>
    <row r="78" spans="2:6" x14ac:dyDescent="0.25">
      <c r="B78" s="18" t="s">
        <v>46</v>
      </c>
      <c r="C78" s="5"/>
      <c r="D78" s="5"/>
      <c r="E78" s="5"/>
      <c r="F78" s="18" t="s">
        <v>47</v>
      </c>
    </row>
    <row r="79" ht="22" customHeight="1" spans="2:6" x14ac:dyDescent="0.25">
      <c r="B79" s="18" t="s">
        <v>48</v>
      </c>
      <c r="C79" s="22"/>
      <c r="D79" s="18" t="s">
        <v>49</v>
      </c>
      <c r="E79" s="5"/>
      <c r="F79" s="5"/>
    </row>
    <row r="80" spans="2:6" x14ac:dyDescent="0.25">
      <c r="B80" s="23" t="s">
        <v>50</v>
      </c>
      <c r="C80" s="23" t="s">
        <v>51</v>
      </c>
      <c r="D80" s="23" t="s">
        <v>52</v>
      </c>
      <c r="E80" s="23" t="s">
        <v>53</v>
      </c>
      <c r="F80" s="23" t="s">
        <v>54</v>
      </c>
    </row>
    <row r="81" spans="2:17" x14ac:dyDescent="0.25">
      <c r="B81" s="24">
        <v>1</v>
      </c>
      <c r="C81" s="22"/>
      <c r="D81" s="22"/>
      <c r="E81" s="22"/>
      <c r="F81" s="22"/>
      <c r="Q81">
        <f>IF(AND($E81="",COUNTA($C81:$D81,$F81)&gt;0),1,0)</f>
      </c>
    </row>
    <row r="82" spans="2:17" x14ac:dyDescent="0.25">
      <c r="B82" s="24">
        <v>2</v>
      </c>
      <c r="C82" s="22"/>
      <c r="D82" s="22"/>
      <c r="E82" s="22"/>
      <c r="F82" s="22"/>
      <c r="Q82">
        <f>IF(AND($E82="",COUNTA($C82:$D82,$F82)&gt;0),1,0)</f>
      </c>
    </row>
    <row r="83" spans="2:17" x14ac:dyDescent="0.25">
      <c r="B83" s="24">
        <v>3</v>
      </c>
      <c r="C83" s="22"/>
      <c r="D83" s="22"/>
      <c r="E83" s="22"/>
      <c r="F83" s="22"/>
      <c r="Q83">
        <f>IF(AND($E83="",COUNTA($C83:$D83,$F83)&gt;0),1,0)</f>
      </c>
    </row>
    <row r="84" spans="2:17" x14ac:dyDescent="0.25">
      <c r="B84" s="24">
        <v>4</v>
      </c>
      <c r="C84" s="22"/>
      <c r="D84" s="22"/>
      <c r="E84" s="22"/>
      <c r="F84" s="22"/>
      <c r="Q84">
        <f>IF(AND($E84="",COUNTA($C84:$D84,$F84)&gt;0),1,0)</f>
      </c>
    </row>
    <row r="85" spans="2:17" x14ac:dyDescent="0.25">
      <c r="B85" s="24">
        <v>5</v>
      </c>
      <c r="C85" s="22"/>
      <c r="D85" s="22"/>
      <c r="E85" s="22"/>
      <c r="F85" s="22"/>
      <c r="Q85">
        <f>IF(AND($E85="",COUNTA($C85:$D85,$F85)&gt;0),1,0)</f>
      </c>
    </row>
    <row r="86" spans="2:17" x14ac:dyDescent="0.25">
      <c r="B86" s="24">
        <v>6</v>
      </c>
      <c r="C86" s="22"/>
      <c r="D86" s="22"/>
      <c r="E86" s="22"/>
      <c r="F86" s="22"/>
      <c r="Q86">
        <f>IF(AND($E86="",COUNTA($C86:$D86,$F86)&gt;0),1,0)</f>
      </c>
    </row>
    <row r="87" spans="2:17" x14ac:dyDescent="0.25">
      <c r="B87" s="24">
        <v>7</v>
      </c>
      <c r="C87" s="22"/>
      <c r="D87" s="22"/>
      <c r="E87" s="22"/>
      <c r="F87" s="22"/>
      <c r="Q87">
        <f>IF(AND($E87="",COUNTA($C87:$D87,$F87)&gt;0),1,0)</f>
      </c>
    </row>
    <row r="88" spans="2:17" x14ac:dyDescent="0.25">
      <c r="B88" s="24">
        <v>8</v>
      </c>
      <c r="C88" s="22"/>
      <c r="D88" s="22"/>
      <c r="E88" s="22"/>
      <c r="F88" s="22"/>
      <c r="Q88">
        <f>IF(AND($E88="",COUNTA($C88:$D88,$F88)&gt;0),1,0)</f>
      </c>
    </row>
    <row r="90" spans="2:6" x14ac:dyDescent="0.25">
      <c r="B90" s="18" t="s">
        <v>44</v>
      </c>
      <c r="C90" s="19"/>
      <c r="D90" s="19"/>
      <c r="E90" s="5"/>
      <c r="F90" s="5"/>
    </row>
    <row r="91" ht="24" customHeight="1" spans="2:16" x14ac:dyDescent="0.25">
      <c r="B91" s="20" t="s">
        <v>60</v>
      </c>
      <c r="C91" s="21"/>
      <c r="D91" s="21"/>
      <c r="E91" s="21"/>
      <c r="F91" s="21"/>
      <c r="G91" s="4">
        <f>IFERROR(IF(AND($C$91="",$C$92=""),IF(COUNTA($C$90:$F$90,$E$93,$C$95:$F$102)+COUNTA($E$92,$C$93)&gt;0,"⚠ Pick an exercise for this card",""),IF(AND($C$91&lt;&gt;"",$C$92&lt;&gt;""),"⚠ Use the library OR a custom exercise, not both",IF(AND($C$92&lt;&gt;"",$E$92=""),"⚠ Pick a muscle group for the custom exercise",IF(COUNT($E$95:$E$102)=0,"⚠ Enter Goal Reps for at least one set",IF(SUM($Q$95:$Q$102)&gt;0,"⚠ A set is missing Goal Reps",IF(IF($C$93="",1=0,COUNTIF($P$7:$P$214,$C$93)&lt;2),"⚠ Superset "&amp;$C$93&amp;" needs 2+ exercises",IF($C$91&lt;&gt;"",IFERROR("✓ "&amp;INDEX('Exercise Library'!$C$2:$C$319,MATCH($C$91,'Exercise Library'!$B$2:$B$319,0))&amp;IF(INDEX('Exercise Library'!$D$2:$D$319,MATCH($C$91,'Exercise Library'!$B$2:$B$319,0))="Yes"," · demo video","")&amp;" · "&amp;COUNT($E$95:$E$102)&amp;" sets","⚠ Not in the library — use Custom"),"✓ Custom ("&amp;$E$92&amp;") · "&amp;COUNT($E$95:$E$102)&amp;" sets"))))))),"⚠ Check this row")</f>
      </c>
      <c r="P91">
        <f>IF(OR($C$91&lt;&gt;"",$C$92&lt;&gt;""),$C$93,"")</f>
      </c>
    </row>
    <row r="92" spans="2:6" x14ac:dyDescent="0.25">
      <c r="B92" s="18" t="s">
        <v>46</v>
      </c>
      <c r="C92" s="5"/>
      <c r="D92" s="5"/>
      <c r="E92" s="5"/>
      <c r="F92" s="18" t="s">
        <v>47</v>
      </c>
    </row>
    <row r="93" ht="22" customHeight="1" spans="2:6" x14ac:dyDescent="0.25">
      <c r="B93" s="18" t="s">
        <v>48</v>
      </c>
      <c r="C93" s="22"/>
      <c r="D93" s="18" t="s">
        <v>49</v>
      </c>
      <c r="E93" s="5"/>
      <c r="F93" s="5"/>
    </row>
    <row r="94" spans="2:6" x14ac:dyDescent="0.25">
      <c r="B94" s="23" t="s">
        <v>50</v>
      </c>
      <c r="C94" s="23" t="s">
        <v>51</v>
      </c>
      <c r="D94" s="23" t="s">
        <v>52</v>
      </c>
      <c r="E94" s="23" t="s">
        <v>53</v>
      </c>
      <c r="F94" s="23" t="s">
        <v>54</v>
      </c>
    </row>
    <row r="95" spans="2:17" x14ac:dyDescent="0.25">
      <c r="B95" s="24">
        <v>1</v>
      </c>
      <c r="C95" s="22"/>
      <c r="D95" s="22"/>
      <c r="E95" s="22"/>
      <c r="F95" s="22"/>
      <c r="Q95">
        <f>IF(AND($E95="",COUNTA($C95:$D95,$F95)&gt;0),1,0)</f>
      </c>
    </row>
    <row r="96" spans="2:17" x14ac:dyDescent="0.25">
      <c r="B96" s="24">
        <v>2</v>
      </c>
      <c r="C96" s="22"/>
      <c r="D96" s="22"/>
      <c r="E96" s="22"/>
      <c r="F96" s="22"/>
      <c r="Q96">
        <f>IF(AND($E96="",COUNTA($C96:$D96,$F96)&gt;0),1,0)</f>
      </c>
    </row>
    <row r="97" spans="2:17" x14ac:dyDescent="0.25">
      <c r="B97" s="24">
        <v>3</v>
      </c>
      <c r="C97" s="22"/>
      <c r="D97" s="22"/>
      <c r="E97" s="22"/>
      <c r="F97" s="22"/>
      <c r="Q97">
        <f>IF(AND($E97="",COUNTA($C97:$D97,$F97)&gt;0),1,0)</f>
      </c>
    </row>
    <row r="98" spans="2:17" x14ac:dyDescent="0.25">
      <c r="B98" s="24">
        <v>4</v>
      </c>
      <c r="C98" s="22"/>
      <c r="D98" s="22"/>
      <c r="E98" s="22"/>
      <c r="F98" s="22"/>
      <c r="Q98">
        <f>IF(AND($E98="",COUNTA($C98:$D98,$F98)&gt;0),1,0)</f>
      </c>
    </row>
    <row r="99" spans="2:17" x14ac:dyDescent="0.25">
      <c r="B99" s="24">
        <v>5</v>
      </c>
      <c r="C99" s="22"/>
      <c r="D99" s="22"/>
      <c r="E99" s="22"/>
      <c r="F99" s="22"/>
      <c r="Q99">
        <f>IF(AND($E99="",COUNTA($C99:$D99,$F99)&gt;0),1,0)</f>
      </c>
    </row>
    <row r="100" spans="2:17" x14ac:dyDescent="0.25">
      <c r="B100" s="24">
        <v>6</v>
      </c>
      <c r="C100" s="22"/>
      <c r="D100" s="22"/>
      <c r="E100" s="22"/>
      <c r="F100" s="22"/>
      <c r="Q100">
        <f>IF(AND($E100="",COUNTA($C100:$D100,$F100)&gt;0),1,0)</f>
      </c>
    </row>
    <row r="101" spans="2:17" x14ac:dyDescent="0.25">
      <c r="B101" s="24">
        <v>7</v>
      </c>
      <c r="C101" s="22"/>
      <c r="D101" s="22"/>
      <c r="E101" s="22"/>
      <c r="F101" s="22"/>
      <c r="Q101">
        <f>IF(AND($E101="",COUNTA($C101:$D101,$F101)&gt;0),1,0)</f>
      </c>
    </row>
    <row r="102" spans="2:17" x14ac:dyDescent="0.25">
      <c r="B102" s="24">
        <v>8</v>
      </c>
      <c r="C102" s="22"/>
      <c r="D102" s="22"/>
      <c r="E102" s="22"/>
      <c r="F102" s="22"/>
      <c r="Q102">
        <f>IF(AND($E102="",COUNTA($C102:$D102,$F102)&gt;0),1,0)</f>
      </c>
    </row>
    <row r="104" spans="2:6" x14ac:dyDescent="0.25">
      <c r="B104" s="18" t="s">
        <v>44</v>
      </c>
      <c r="C104" s="19"/>
      <c r="D104" s="19"/>
      <c r="E104" s="5"/>
      <c r="F104" s="5"/>
    </row>
    <row r="105" ht="24" customHeight="1" spans="2:16" x14ac:dyDescent="0.25">
      <c r="B105" s="20" t="s">
        <v>61</v>
      </c>
      <c r="C105" s="21"/>
      <c r="D105" s="21"/>
      <c r="E105" s="21"/>
      <c r="F105" s="21"/>
      <c r="G105" s="4">
        <f>IFERROR(IF(AND($C$105="",$C$106=""),IF(COUNTA($C$104:$F$104,$E$107,$C$109:$F$116)+COUNTA($E$106,$C$107)&gt;0,"⚠ Pick an exercise for this card",""),IF(AND($C$105&lt;&gt;"",$C$106&lt;&gt;""),"⚠ Use the library OR a custom exercise, not both",IF(AND($C$106&lt;&gt;"",$E$106=""),"⚠ Pick a muscle group for the custom exercise",IF(COUNT($E$109:$E$116)=0,"⚠ Enter Goal Reps for at least one set",IF(SUM($Q$109:$Q$116)&gt;0,"⚠ A set is missing Goal Reps",IF(IF($C$107="",1=0,COUNTIF($P$7:$P$214,$C$107)&lt;2),"⚠ Superset "&amp;$C$107&amp;" needs 2+ exercises",IF($C$105&lt;&gt;"",IFERROR("✓ "&amp;INDEX('Exercise Library'!$C$2:$C$319,MATCH($C$105,'Exercise Library'!$B$2:$B$319,0))&amp;IF(INDEX('Exercise Library'!$D$2:$D$319,MATCH($C$105,'Exercise Library'!$B$2:$B$319,0))="Yes"," · demo video","")&amp;" · "&amp;COUNT($E$109:$E$116)&amp;" sets","⚠ Not in the library — use Custom"),"✓ Custom ("&amp;$E$106&amp;") · "&amp;COUNT($E$109:$E$116)&amp;" sets"))))))),"⚠ Check this row")</f>
      </c>
      <c r="P105">
        <f>IF(OR($C$105&lt;&gt;"",$C$106&lt;&gt;""),$C$107,"")</f>
      </c>
    </row>
    <row r="106" spans="2:6" x14ac:dyDescent="0.25">
      <c r="B106" s="18" t="s">
        <v>46</v>
      </c>
      <c r="C106" s="5"/>
      <c r="D106" s="5"/>
      <c r="E106" s="5"/>
      <c r="F106" s="18" t="s">
        <v>47</v>
      </c>
    </row>
    <row r="107" ht="22" customHeight="1" spans="2:6" x14ac:dyDescent="0.25">
      <c r="B107" s="18" t="s">
        <v>48</v>
      </c>
      <c r="C107" s="22"/>
      <c r="D107" s="18" t="s">
        <v>49</v>
      </c>
      <c r="E107" s="5"/>
      <c r="F107" s="5"/>
    </row>
    <row r="108" spans="2:6" x14ac:dyDescent="0.25">
      <c r="B108" s="23" t="s">
        <v>50</v>
      </c>
      <c r="C108" s="23" t="s">
        <v>51</v>
      </c>
      <c r="D108" s="23" t="s">
        <v>52</v>
      </c>
      <c r="E108" s="23" t="s">
        <v>53</v>
      </c>
      <c r="F108" s="23" t="s">
        <v>54</v>
      </c>
    </row>
    <row r="109" spans="2:17" x14ac:dyDescent="0.25">
      <c r="B109" s="24">
        <v>1</v>
      </c>
      <c r="C109" s="22"/>
      <c r="D109" s="22"/>
      <c r="E109" s="22"/>
      <c r="F109" s="22"/>
      <c r="Q109">
        <f>IF(AND($E109="",COUNTA($C109:$D109,$F109)&gt;0),1,0)</f>
      </c>
    </row>
    <row r="110" spans="2:17" x14ac:dyDescent="0.25">
      <c r="B110" s="24">
        <v>2</v>
      </c>
      <c r="C110" s="22"/>
      <c r="D110" s="22"/>
      <c r="E110" s="22"/>
      <c r="F110" s="22"/>
      <c r="Q110">
        <f>IF(AND($E110="",COUNTA($C110:$D110,$F110)&gt;0),1,0)</f>
      </c>
    </row>
    <row r="111" spans="2:17" x14ac:dyDescent="0.25">
      <c r="B111" s="24">
        <v>3</v>
      </c>
      <c r="C111" s="22"/>
      <c r="D111" s="22"/>
      <c r="E111" s="22"/>
      <c r="F111" s="22"/>
      <c r="Q111">
        <f>IF(AND($E111="",COUNTA($C111:$D111,$F111)&gt;0),1,0)</f>
      </c>
    </row>
    <row r="112" spans="2:17" x14ac:dyDescent="0.25">
      <c r="B112" s="24">
        <v>4</v>
      </c>
      <c r="C112" s="22"/>
      <c r="D112" s="22"/>
      <c r="E112" s="22"/>
      <c r="F112" s="22"/>
      <c r="Q112">
        <f>IF(AND($E112="",COUNTA($C112:$D112,$F112)&gt;0),1,0)</f>
      </c>
    </row>
    <row r="113" spans="2:17" x14ac:dyDescent="0.25">
      <c r="B113" s="24">
        <v>5</v>
      </c>
      <c r="C113" s="22"/>
      <c r="D113" s="22"/>
      <c r="E113" s="22"/>
      <c r="F113" s="22"/>
      <c r="Q113">
        <f>IF(AND($E113="",COUNTA($C113:$D113,$F113)&gt;0),1,0)</f>
      </c>
    </row>
    <row r="114" spans="2:17" x14ac:dyDescent="0.25">
      <c r="B114" s="24">
        <v>6</v>
      </c>
      <c r="C114" s="22"/>
      <c r="D114" s="22"/>
      <c r="E114" s="22"/>
      <c r="F114" s="22"/>
      <c r="Q114">
        <f>IF(AND($E114="",COUNTA($C114:$D114,$F114)&gt;0),1,0)</f>
      </c>
    </row>
    <row r="115" spans="2:17" x14ac:dyDescent="0.25">
      <c r="B115" s="24">
        <v>7</v>
      </c>
      <c r="C115" s="22"/>
      <c r="D115" s="22"/>
      <c r="E115" s="22"/>
      <c r="F115" s="22"/>
      <c r="Q115">
        <f>IF(AND($E115="",COUNTA($C115:$D115,$F115)&gt;0),1,0)</f>
      </c>
    </row>
    <row r="116" spans="2:17" x14ac:dyDescent="0.25">
      <c r="B116" s="24">
        <v>8</v>
      </c>
      <c r="C116" s="22"/>
      <c r="D116" s="22"/>
      <c r="E116" s="22"/>
      <c r="F116" s="22"/>
      <c r="Q116">
        <f>IF(AND($E116="",COUNTA($C116:$D116,$F116)&gt;0),1,0)</f>
      </c>
    </row>
    <row r="118" spans="2:6" x14ac:dyDescent="0.25">
      <c r="B118" s="18" t="s">
        <v>44</v>
      </c>
      <c r="C118" s="19"/>
      <c r="D118" s="19"/>
      <c r="E118" s="5"/>
      <c r="F118" s="5"/>
    </row>
    <row r="119" ht="24" customHeight="1" spans="2:16" x14ac:dyDescent="0.25">
      <c r="B119" s="20" t="s">
        <v>62</v>
      </c>
      <c r="C119" s="21"/>
      <c r="D119" s="21"/>
      <c r="E119" s="21"/>
      <c r="F119" s="21"/>
      <c r="G119" s="4">
        <f>IFERROR(IF(AND($C$119="",$C$120=""),IF(COUNTA($C$118:$F$118,$E$121,$C$123:$F$130)+COUNTA($E$120,$C$121)&gt;0,"⚠ Pick an exercise for this card",""),IF(AND($C$119&lt;&gt;"",$C$120&lt;&gt;""),"⚠ Use the library OR a custom exercise, not both",IF(AND($C$120&lt;&gt;"",$E$120=""),"⚠ Pick a muscle group for the custom exercise",IF(COUNT($E$123:$E$130)=0,"⚠ Enter Goal Reps for at least one set",IF(SUM($Q$123:$Q$130)&gt;0,"⚠ A set is missing Goal Reps",IF(IF($C$121="",1=0,COUNTIF($P$7:$P$214,$C$121)&lt;2),"⚠ Superset "&amp;$C$121&amp;" needs 2+ exercises",IF($C$119&lt;&gt;"",IFERROR("✓ "&amp;INDEX('Exercise Library'!$C$2:$C$319,MATCH($C$119,'Exercise Library'!$B$2:$B$319,0))&amp;IF(INDEX('Exercise Library'!$D$2:$D$319,MATCH($C$119,'Exercise Library'!$B$2:$B$319,0))="Yes"," · demo video","")&amp;" · "&amp;COUNT($E$123:$E$130)&amp;" sets","⚠ Not in the library — use Custom"),"✓ Custom ("&amp;$E$120&amp;") · "&amp;COUNT($E$123:$E$130)&amp;" sets"))))))),"⚠ Check this row")</f>
      </c>
      <c r="P119">
        <f>IF(OR($C$119&lt;&gt;"",$C$120&lt;&gt;""),$C$121,"")</f>
      </c>
    </row>
    <row r="120" spans="2:6" x14ac:dyDescent="0.25">
      <c r="B120" s="18" t="s">
        <v>46</v>
      </c>
      <c r="C120" s="5"/>
      <c r="D120" s="5"/>
      <c r="E120" s="5"/>
      <c r="F120" s="18" t="s">
        <v>47</v>
      </c>
    </row>
    <row r="121" ht="22" customHeight="1" spans="2:6" x14ac:dyDescent="0.25">
      <c r="B121" s="18" t="s">
        <v>48</v>
      </c>
      <c r="C121" s="22"/>
      <c r="D121" s="18" t="s">
        <v>49</v>
      </c>
      <c r="E121" s="5"/>
      <c r="F121" s="5"/>
    </row>
    <row r="122" spans="2:6" x14ac:dyDescent="0.25">
      <c r="B122" s="23" t="s">
        <v>50</v>
      </c>
      <c r="C122" s="23" t="s">
        <v>51</v>
      </c>
      <c r="D122" s="23" t="s">
        <v>52</v>
      </c>
      <c r="E122" s="23" t="s">
        <v>53</v>
      </c>
      <c r="F122" s="23" t="s">
        <v>54</v>
      </c>
    </row>
    <row r="123" spans="2:17" x14ac:dyDescent="0.25">
      <c r="B123" s="24">
        <v>1</v>
      </c>
      <c r="C123" s="22"/>
      <c r="D123" s="22"/>
      <c r="E123" s="22"/>
      <c r="F123" s="22"/>
      <c r="Q123">
        <f>IF(AND($E123="",COUNTA($C123:$D123,$F123)&gt;0),1,0)</f>
      </c>
    </row>
    <row r="124" spans="2:17" x14ac:dyDescent="0.25">
      <c r="B124" s="24">
        <v>2</v>
      </c>
      <c r="C124" s="22"/>
      <c r="D124" s="22"/>
      <c r="E124" s="22"/>
      <c r="F124" s="22"/>
      <c r="Q124">
        <f>IF(AND($E124="",COUNTA($C124:$D124,$F124)&gt;0),1,0)</f>
      </c>
    </row>
    <row r="125" spans="2:17" x14ac:dyDescent="0.25">
      <c r="B125" s="24">
        <v>3</v>
      </c>
      <c r="C125" s="22"/>
      <c r="D125" s="22"/>
      <c r="E125" s="22"/>
      <c r="F125" s="22"/>
      <c r="Q125">
        <f>IF(AND($E125="",COUNTA($C125:$D125,$F125)&gt;0),1,0)</f>
      </c>
    </row>
    <row r="126" spans="2:17" x14ac:dyDescent="0.25">
      <c r="B126" s="24">
        <v>4</v>
      </c>
      <c r="C126" s="22"/>
      <c r="D126" s="22"/>
      <c r="E126" s="22"/>
      <c r="F126" s="22"/>
      <c r="Q126">
        <f>IF(AND($E126="",COUNTA($C126:$D126,$F126)&gt;0),1,0)</f>
      </c>
    </row>
    <row r="127" spans="2:17" x14ac:dyDescent="0.25">
      <c r="B127" s="24">
        <v>5</v>
      </c>
      <c r="C127" s="22"/>
      <c r="D127" s="22"/>
      <c r="E127" s="22"/>
      <c r="F127" s="22"/>
      <c r="Q127">
        <f>IF(AND($E127="",COUNTA($C127:$D127,$F127)&gt;0),1,0)</f>
      </c>
    </row>
    <row r="128" spans="2:17" x14ac:dyDescent="0.25">
      <c r="B128" s="24">
        <v>6</v>
      </c>
      <c r="C128" s="22"/>
      <c r="D128" s="22"/>
      <c r="E128" s="22"/>
      <c r="F128" s="22"/>
      <c r="Q128">
        <f>IF(AND($E128="",COUNTA($C128:$D128,$F128)&gt;0),1,0)</f>
      </c>
    </row>
    <row r="129" spans="2:17" x14ac:dyDescent="0.25">
      <c r="B129" s="24">
        <v>7</v>
      </c>
      <c r="C129" s="22"/>
      <c r="D129" s="22"/>
      <c r="E129" s="22"/>
      <c r="F129" s="22"/>
      <c r="Q129">
        <f>IF(AND($E129="",COUNTA($C129:$D129,$F129)&gt;0),1,0)</f>
      </c>
    </row>
    <row r="130" spans="2:17" x14ac:dyDescent="0.25">
      <c r="B130" s="24">
        <v>8</v>
      </c>
      <c r="C130" s="22"/>
      <c r="D130" s="22"/>
      <c r="E130" s="22"/>
      <c r="F130" s="22"/>
      <c r="Q130">
        <f>IF(AND($E130="",COUNTA($C130:$D130,$F130)&gt;0),1,0)</f>
      </c>
    </row>
    <row r="132" spans="2:6" x14ac:dyDescent="0.25">
      <c r="B132" s="18" t="s">
        <v>44</v>
      </c>
      <c r="C132" s="19"/>
      <c r="D132" s="19"/>
      <c r="E132" s="5"/>
      <c r="F132" s="5"/>
    </row>
    <row r="133" ht="24" customHeight="1" spans="2:16" x14ac:dyDescent="0.25">
      <c r="B133" s="20" t="s">
        <v>63</v>
      </c>
      <c r="C133" s="21"/>
      <c r="D133" s="21"/>
      <c r="E133" s="21"/>
      <c r="F133" s="21"/>
      <c r="G133" s="4">
        <f>IFERROR(IF(AND($C$133="",$C$134=""),IF(COUNTA($C$132:$F$132,$E$135,$C$137:$F$144)+COUNTA($E$134,$C$135)&gt;0,"⚠ Pick an exercise for this card",""),IF(AND($C$133&lt;&gt;"",$C$134&lt;&gt;""),"⚠ Use the library OR a custom exercise, not both",IF(AND($C$134&lt;&gt;"",$E$134=""),"⚠ Pick a muscle group for the custom exercise",IF(COUNT($E$137:$E$144)=0,"⚠ Enter Goal Reps for at least one set",IF(SUM($Q$137:$Q$144)&gt;0,"⚠ A set is missing Goal Reps",IF(IF($C$135="",1=0,COUNTIF($P$7:$P$214,$C$135)&lt;2),"⚠ Superset "&amp;$C$135&amp;" needs 2+ exercises",IF($C$133&lt;&gt;"",IFERROR("✓ "&amp;INDEX('Exercise Library'!$C$2:$C$319,MATCH($C$133,'Exercise Library'!$B$2:$B$319,0))&amp;IF(INDEX('Exercise Library'!$D$2:$D$319,MATCH($C$133,'Exercise Library'!$B$2:$B$319,0))="Yes"," · demo video","")&amp;" · "&amp;COUNT($E$137:$E$144)&amp;" sets","⚠ Not in the library — use Custom"),"✓ Custom ("&amp;$E$134&amp;") · "&amp;COUNT($E$137:$E$144)&amp;" sets"))))))),"⚠ Check this row")</f>
      </c>
      <c r="P133">
        <f>IF(OR($C$133&lt;&gt;"",$C$134&lt;&gt;""),$C$135,"")</f>
      </c>
    </row>
    <row r="134" spans="2:6" x14ac:dyDescent="0.25">
      <c r="B134" s="18" t="s">
        <v>46</v>
      </c>
      <c r="C134" s="5"/>
      <c r="D134" s="5"/>
      <c r="E134" s="5"/>
      <c r="F134" s="18" t="s">
        <v>47</v>
      </c>
    </row>
    <row r="135" ht="22" customHeight="1" spans="2:6" x14ac:dyDescent="0.25">
      <c r="B135" s="18" t="s">
        <v>48</v>
      </c>
      <c r="C135" s="22"/>
      <c r="D135" s="18" t="s">
        <v>49</v>
      </c>
      <c r="E135" s="5"/>
      <c r="F135" s="5"/>
    </row>
    <row r="136" spans="2:6" x14ac:dyDescent="0.25">
      <c r="B136" s="23" t="s">
        <v>50</v>
      </c>
      <c r="C136" s="23" t="s">
        <v>51</v>
      </c>
      <c r="D136" s="23" t="s">
        <v>52</v>
      </c>
      <c r="E136" s="23" t="s">
        <v>53</v>
      </c>
      <c r="F136" s="23" t="s">
        <v>54</v>
      </c>
    </row>
    <row r="137" spans="2:17" x14ac:dyDescent="0.25">
      <c r="B137" s="24">
        <v>1</v>
      </c>
      <c r="C137" s="22"/>
      <c r="D137" s="22"/>
      <c r="E137" s="22"/>
      <c r="F137" s="22"/>
      <c r="Q137">
        <f>IF(AND($E137="",COUNTA($C137:$D137,$F137)&gt;0),1,0)</f>
      </c>
    </row>
    <row r="138" spans="2:17" x14ac:dyDescent="0.25">
      <c r="B138" s="24">
        <v>2</v>
      </c>
      <c r="C138" s="22"/>
      <c r="D138" s="22"/>
      <c r="E138" s="22"/>
      <c r="F138" s="22"/>
      <c r="Q138">
        <f>IF(AND($E138="",COUNTA($C138:$D138,$F138)&gt;0),1,0)</f>
      </c>
    </row>
    <row r="139" spans="2:17" x14ac:dyDescent="0.25">
      <c r="B139" s="24">
        <v>3</v>
      </c>
      <c r="C139" s="22"/>
      <c r="D139" s="22"/>
      <c r="E139" s="22"/>
      <c r="F139" s="22"/>
      <c r="Q139">
        <f>IF(AND($E139="",COUNTA($C139:$D139,$F139)&gt;0),1,0)</f>
      </c>
    </row>
    <row r="140" spans="2:17" x14ac:dyDescent="0.25">
      <c r="B140" s="24">
        <v>4</v>
      </c>
      <c r="C140" s="22"/>
      <c r="D140" s="22"/>
      <c r="E140" s="22"/>
      <c r="F140" s="22"/>
      <c r="Q140">
        <f>IF(AND($E140="",COUNTA($C140:$D140,$F140)&gt;0),1,0)</f>
      </c>
    </row>
    <row r="141" spans="2:17" x14ac:dyDescent="0.25">
      <c r="B141" s="24">
        <v>5</v>
      </c>
      <c r="C141" s="22"/>
      <c r="D141" s="22"/>
      <c r="E141" s="22"/>
      <c r="F141" s="22"/>
      <c r="Q141">
        <f>IF(AND($E141="",COUNTA($C141:$D141,$F141)&gt;0),1,0)</f>
      </c>
    </row>
    <row r="142" spans="2:17" x14ac:dyDescent="0.25">
      <c r="B142" s="24">
        <v>6</v>
      </c>
      <c r="C142" s="22"/>
      <c r="D142" s="22"/>
      <c r="E142" s="22"/>
      <c r="F142" s="22"/>
      <c r="Q142">
        <f>IF(AND($E142="",COUNTA($C142:$D142,$F142)&gt;0),1,0)</f>
      </c>
    </row>
    <row r="143" spans="2:17" x14ac:dyDescent="0.25">
      <c r="B143" s="24">
        <v>7</v>
      </c>
      <c r="C143" s="22"/>
      <c r="D143" s="22"/>
      <c r="E143" s="22"/>
      <c r="F143" s="22"/>
      <c r="Q143">
        <f>IF(AND($E143="",COUNTA($C143:$D143,$F143)&gt;0),1,0)</f>
      </c>
    </row>
    <row r="144" spans="2:17" x14ac:dyDescent="0.25">
      <c r="B144" s="24">
        <v>8</v>
      </c>
      <c r="C144" s="22"/>
      <c r="D144" s="22"/>
      <c r="E144" s="22"/>
      <c r="F144" s="22"/>
      <c r="Q144">
        <f>IF(AND($E144="",COUNTA($C144:$D144,$F144)&gt;0),1,0)</f>
      </c>
    </row>
    <row r="146" spans="2:6" x14ac:dyDescent="0.25">
      <c r="B146" s="18" t="s">
        <v>44</v>
      </c>
      <c r="C146" s="19"/>
      <c r="D146" s="19"/>
      <c r="E146" s="5"/>
      <c r="F146" s="5"/>
    </row>
    <row r="147" ht="24" customHeight="1" spans="2:16" x14ac:dyDescent="0.25">
      <c r="B147" s="20" t="s">
        <v>64</v>
      </c>
      <c r="C147" s="21"/>
      <c r="D147" s="21"/>
      <c r="E147" s="21"/>
      <c r="F147" s="21"/>
      <c r="G147" s="4">
        <f>IFERROR(IF(AND($C$147="",$C$148=""),IF(COUNTA($C$146:$F$146,$E$149,$C$151:$F$158)+COUNTA($E$148,$C$149)&gt;0,"⚠ Pick an exercise for this card",""),IF(AND($C$147&lt;&gt;"",$C$148&lt;&gt;""),"⚠ Use the library OR a custom exercise, not both",IF(AND($C$148&lt;&gt;"",$E$148=""),"⚠ Pick a muscle group for the custom exercise",IF(COUNT($E$151:$E$158)=0,"⚠ Enter Goal Reps for at least one set",IF(SUM($Q$151:$Q$158)&gt;0,"⚠ A set is missing Goal Reps",IF(IF($C$149="",1=0,COUNTIF($P$7:$P$214,$C$149)&lt;2),"⚠ Superset "&amp;$C$149&amp;" needs 2+ exercises",IF($C$147&lt;&gt;"",IFERROR("✓ "&amp;INDEX('Exercise Library'!$C$2:$C$319,MATCH($C$147,'Exercise Library'!$B$2:$B$319,0))&amp;IF(INDEX('Exercise Library'!$D$2:$D$319,MATCH($C$147,'Exercise Library'!$B$2:$B$319,0))="Yes"," · demo video","")&amp;" · "&amp;COUNT($E$151:$E$158)&amp;" sets","⚠ Not in the library — use Custom"),"✓ Custom ("&amp;$E$148&amp;") · "&amp;COUNT($E$151:$E$158)&amp;" sets"))))))),"⚠ Check this row")</f>
      </c>
      <c r="P147">
        <f>IF(OR($C$147&lt;&gt;"",$C$148&lt;&gt;""),$C$149,"")</f>
      </c>
    </row>
    <row r="148" spans="2:6" x14ac:dyDescent="0.25">
      <c r="B148" s="18" t="s">
        <v>46</v>
      </c>
      <c r="C148" s="5"/>
      <c r="D148" s="5"/>
      <c r="E148" s="5"/>
      <c r="F148" s="18" t="s">
        <v>47</v>
      </c>
    </row>
    <row r="149" ht="22" customHeight="1" spans="2:6" x14ac:dyDescent="0.25">
      <c r="B149" s="18" t="s">
        <v>48</v>
      </c>
      <c r="C149" s="22"/>
      <c r="D149" s="18" t="s">
        <v>49</v>
      </c>
      <c r="E149" s="5"/>
      <c r="F149" s="5"/>
    </row>
    <row r="150" spans="2:6" x14ac:dyDescent="0.25">
      <c r="B150" s="23" t="s">
        <v>50</v>
      </c>
      <c r="C150" s="23" t="s">
        <v>51</v>
      </c>
      <c r="D150" s="23" t="s">
        <v>52</v>
      </c>
      <c r="E150" s="23" t="s">
        <v>53</v>
      </c>
      <c r="F150" s="23" t="s">
        <v>54</v>
      </c>
    </row>
    <row r="151" spans="2:17" x14ac:dyDescent="0.25">
      <c r="B151" s="24">
        <v>1</v>
      </c>
      <c r="C151" s="22"/>
      <c r="D151" s="22"/>
      <c r="E151" s="22"/>
      <c r="F151" s="22"/>
      <c r="Q151">
        <f>IF(AND($E151="",COUNTA($C151:$D151,$F151)&gt;0),1,0)</f>
      </c>
    </row>
    <row r="152" spans="2:17" x14ac:dyDescent="0.25">
      <c r="B152" s="24">
        <v>2</v>
      </c>
      <c r="C152" s="22"/>
      <c r="D152" s="22"/>
      <c r="E152" s="22"/>
      <c r="F152" s="22"/>
      <c r="Q152">
        <f>IF(AND($E152="",COUNTA($C152:$D152,$F152)&gt;0),1,0)</f>
      </c>
    </row>
    <row r="153" spans="2:17" x14ac:dyDescent="0.25">
      <c r="B153" s="24">
        <v>3</v>
      </c>
      <c r="C153" s="22"/>
      <c r="D153" s="22"/>
      <c r="E153" s="22"/>
      <c r="F153" s="22"/>
      <c r="Q153">
        <f>IF(AND($E153="",COUNTA($C153:$D153,$F153)&gt;0),1,0)</f>
      </c>
    </row>
    <row r="154" spans="2:17" x14ac:dyDescent="0.25">
      <c r="B154" s="24">
        <v>4</v>
      </c>
      <c r="C154" s="22"/>
      <c r="D154" s="22"/>
      <c r="E154" s="22"/>
      <c r="F154" s="22"/>
      <c r="Q154">
        <f>IF(AND($E154="",COUNTA($C154:$D154,$F154)&gt;0),1,0)</f>
      </c>
    </row>
    <row r="155" spans="2:17" x14ac:dyDescent="0.25">
      <c r="B155" s="24">
        <v>5</v>
      </c>
      <c r="C155" s="22"/>
      <c r="D155" s="22"/>
      <c r="E155" s="22"/>
      <c r="F155" s="22"/>
      <c r="Q155">
        <f>IF(AND($E155="",COUNTA($C155:$D155,$F155)&gt;0),1,0)</f>
      </c>
    </row>
    <row r="156" spans="2:17" x14ac:dyDescent="0.25">
      <c r="B156" s="24">
        <v>6</v>
      </c>
      <c r="C156" s="22"/>
      <c r="D156" s="22"/>
      <c r="E156" s="22"/>
      <c r="F156" s="22"/>
      <c r="Q156">
        <f>IF(AND($E156="",COUNTA($C156:$D156,$F156)&gt;0),1,0)</f>
      </c>
    </row>
    <row r="157" spans="2:17" x14ac:dyDescent="0.25">
      <c r="B157" s="24">
        <v>7</v>
      </c>
      <c r="C157" s="22"/>
      <c r="D157" s="22"/>
      <c r="E157" s="22"/>
      <c r="F157" s="22"/>
      <c r="Q157">
        <f>IF(AND($E157="",COUNTA($C157:$D157,$F157)&gt;0),1,0)</f>
      </c>
    </row>
    <row r="158" spans="2:17" x14ac:dyDescent="0.25">
      <c r="B158" s="24">
        <v>8</v>
      </c>
      <c r="C158" s="22"/>
      <c r="D158" s="22"/>
      <c r="E158" s="22"/>
      <c r="F158" s="22"/>
      <c r="Q158">
        <f>IF(AND($E158="",COUNTA($C158:$D158,$F158)&gt;0),1,0)</f>
      </c>
    </row>
    <row r="160" spans="2:6" x14ac:dyDescent="0.25">
      <c r="B160" s="18" t="s">
        <v>44</v>
      </c>
      <c r="C160" s="19"/>
      <c r="D160" s="19"/>
      <c r="E160" s="5"/>
      <c r="F160" s="5"/>
    </row>
    <row r="161" ht="24" customHeight="1" spans="2:16" x14ac:dyDescent="0.25">
      <c r="B161" s="20" t="s">
        <v>65</v>
      </c>
      <c r="C161" s="21"/>
      <c r="D161" s="21"/>
      <c r="E161" s="21"/>
      <c r="F161" s="21"/>
      <c r="G161" s="4">
        <f>IFERROR(IF(AND($C$161="",$C$162=""),IF(COUNTA($C$160:$F$160,$E$163,$C$165:$F$172)+COUNTA($E$162,$C$163)&gt;0,"⚠ Pick an exercise for this card",""),IF(AND($C$161&lt;&gt;"",$C$162&lt;&gt;""),"⚠ Use the library OR a custom exercise, not both",IF(AND($C$162&lt;&gt;"",$E$162=""),"⚠ Pick a muscle group for the custom exercise",IF(COUNT($E$165:$E$172)=0,"⚠ Enter Goal Reps for at least one set",IF(SUM($Q$165:$Q$172)&gt;0,"⚠ A set is missing Goal Reps",IF(IF($C$163="",1=0,COUNTIF($P$7:$P$214,$C$163)&lt;2),"⚠ Superset "&amp;$C$163&amp;" needs 2+ exercises",IF($C$161&lt;&gt;"",IFERROR("✓ "&amp;INDEX('Exercise Library'!$C$2:$C$319,MATCH($C$161,'Exercise Library'!$B$2:$B$319,0))&amp;IF(INDEX('Exercise Library'!$D$2:$D$319,MATCH($C$161,'Exercise Library'!$B$2:$B$319,0))="Yes"," · demo video","")&amp;" · "&amp;COUNT($E$165:$E$172)&amp;" sets","⚠ Not in the library — use Custom"),"✓ Custom ("&amp;$E$162&amp;") · "&amp;COUNT($E$165:$E$172)&amp;" sets"))))))),"⚠ Check this row")</f>
      </c>
      <c r="P161">
        <f>IF(OR($C$161&lt;&gt;"",$C$162&lt;&gt;""),$C$163,"")</f>
      </c>
    </row>
    <row r="162" spans="2:6" x14ac:dyDescent="0.25">
      <c r="B162" s="18" t="s">
        <v>46</v>
      </c>
      <c r="C162" s="5"/>
      <c r="D162" s="5"/>
      <c r="E162" s="5"/>
      <c r="F162" s="18" t="s">
        <v>47</v>
      </c>
    </row>
    <row r="163" ht="22" customHeight="1" spans="2:6" x14ac:dyDescent="0.25">
      <c r="B163" s="18" t="s">
        <v>48</v>
      </c>
      <c r="C163" s="22"/>
      <c r="D163" s="18" t="s">
        <v>49</v>
      </c>
      <c r="E163" s="5"/>
      <c r="F163" s="5"/>
    </row>
    <row r="164" spans="2:6" x14ac:dyDescent="0.25">
      <c r="B164" s="23" t="s">
        <v>50</v>
      </c>
      <c r="C164" s="23" t="s">
        <v>51</v>
      </c>
      <c r="D164" s="23" t="s">
        <v>52</v>
      </c>
      <c r="E164" s="23" t="s">
        <v>53</v>
      </c>
      <c r="F164" s="23" t="s">
        <v>54</v>
      </c>
    </row>
    <row r="165" spans="2:17" x14ac:dyDescent="0.25">
      <c r="B165" s="24">
        <v>1</v>
      </c>
      <c r="C165" s="22"/>
      <c r="D165" s="22"/>
      <c r="E165" s="22"/>
      <c r="F165" s="22"/>
      <c r="Q165">
        <f>IF(AND($E165="",COUNTA($C165:$D165,$F165)&gt;0),1,0)</f>
      </c>
    </row>
    <row r="166" spans="2:17" x14ac:dyDescent="0.25">
      <c r="B166" s="24">
        <v>2</v>
      </c>
      <c r="C166" s="22"/>
      <c r="D166" s="22"/>
      <c r="E166" s="22"/>
      <c r="F166" s="22"/>
      <c r="Q166">
        <f>IF(AND($E166="",COUNTA($C166:$D166,$F166)&gt;0),1,0)</f>
      </c>
    </row>
    <row r="167" spans="2:17" x14ac:dyDescent="0.25">
      <c r="B167" s="24">
        <v>3</v>
      </c>
      <c r="C167" s="22"/>
      <c r="D167" s="22"/>
      <c r="E167" s="22"/>
      <c r="F167" s="22"/>
      <c r="Q167">
        <f>IF(AND($E167="",COUNTA($C167:$D167,$F167)&gt;0),1,0)</f>
      </c>
    </row>
    <row r="168" spans="2:17" x14ac:dyDescent="0.25">
      <c r="B168" s="24">
        <v>4</v>
      </c>
      <c r="C168" s="22"/>
      <c r="D168" s="22"/>
      <c r="E168" s="22"/>
      <c r="F168" s="22"/>
      <c r="Q168">
        <f>IF(AND($E168="",COUNTA($C168:$D168,$F168)&gt;0),1,0)</f>
      </c>
    </row>
    <row r="169" spans="2:17" x14ac:dyDescent="0.25">
      <c r="B169" s="24">
        <v>5</v>
      </c>
      <c r="C169" s="22"/>
      <c r="D169" s="22"/>
      <c r="E169" s="22"/>
      <c r="F169" s="22"/>
      <c r="Q169">
        <f>IF(AND($E169="",COUNTA($C169:$D169,$F169)&gt;0),1,0)</f>
      </c>
    </row>
    <row r="170" spans="2:17" x14ac:dyDescent="0.25">
      <c r="B170" s="24">
        <v>6</v>
      </c>
      <c r="C170" s="22"/>
      <c r="D170" s="22"/>
      <c r="E170" s="22"/>
      <c r="F170" s="22"/>
      <c r="Q170">
        <f>IF(AND($E170="",COUNTA($C170:$D170,$F170)&gt;0),1,0)</f>
      </c>
    </row>
    <row r="171" spans="2:17" x14ac:dyDescent="0.25">
      <c r="B171" s="24">
        <v>7</v>
      </c>
      <c r="C171" s="22"/>
      <c r="D171" s="22"/>
      <c r="E171" s="22"/>
      <c r="F171" s="22"/>
      <c r="Q171">
        <f>IF(AND($E171="",COUNTA($C171:$D171,$F171)&gt;0),1,0)</f>
      </c>
    </row>
    <row r="172" spans="2:17" x14ac:dyDescent="0.25">
      <c r="B172" s="24">
        <v>8</v>
      </c>
      <c r="C172" s="22"/>
      <c r="D172" s="22"/>
      <c r="E172" s="22"/>
      <c r="F172" s="22"/>
      <c r="Q172">
        <f>IF(AND($E172="",COUNTA($C172:$D172,$F172)&gt;0),1,0)</f>
      </c>
    </row>
    <row r="174" spans="2:6" x14ac:dyDescent="0.25">
      <c r="B174" s="18" t="s">
        <v>44</v>
      </c>
      <c r="C174" s="19"/>
      <c r="D174" s="19"/>
      <c r="E174" s="5"/>
      <c r="F174" s="5"/>
    </row>
    <row r="175" ht="24" customHeight="1" spans="2:16" x14ac:dyDescent="0.25">
      <c r="B175" s="20" t="s">
        <v>66</v>
      </c>
      <c r="C175" s="21"/>
      <c r="D175" s="21"/>
      <c r="E175" s="21"/>
      <c r="F175" s="21"/>
      <c r="G175" s="4">
        <f>IFERROR(IF(AND($C$175="",$C$176=""),IF(COUNTA($C$174:$F$174,$E$177,$C$179:$F$186)+COUNTA($E$176,$C$177)&gt;0,"⚠ Pick an exercise for this card",""),IF(AND($C$175&lt;&gt;"",$C$176&lt;&gt;""),"⚠ Use the library OR a custom exercise, not both",IF(AND($C$176&lt;&gt;"",$E$176=""),"⚠ Pick a muscle group for the custom exercise",IF(COUNT($E$179:$E$186)=0,"⚠ Enter Goal Reps for at least one set",IF(SUM($Q$179:$Q$186)&gt;0,"⚠ A set is missing Goal Reps",IF(IF($C$177="",1=0,COUNTIF($P$7:$P$214,$C$177)&lt;2),"⚠ Superset "&amp;$C$177&amp;" needs 2+ exercises",IF($C$175&lt;&gt;"",IFERROR("✓ "&amp;INDEX('Exercise Library'!$C$2:$C$319,MATCH($C$175,'Exercise Library'!$B$2:$B$319,0))&amp;IF(INDEX('Exercise Library'!$D$2:$D$319,MATCH($C$175,'Exercise Library'!$B$2:$B$319,0))="Yes"," · demo video","")&amp;" · "&amp;COUNT($E$179:$E$186)&amp;" sets","⚠ Not in the library — use Custom"),"✓ Custom ("&amp;$E$176&amp;") · "&amp;COUNT($E$179:$E$186)&amp;" sets"))))))),"⚠ Check this row")</f>
      </c>
      <c r="P175">
        <f>IF(OR($C$175&lt;&gt;"",$C$176&lt;&gt;""),$C$177,"")</f>
      </c>
    </row>
    <row r="176" spans="2:6" x14ac:dyDescent="0.25">
      <c r="B176" s="18" t="s">
        <v>46</v>
      </c>
      <c r="C176" s="5"/>
      <c r="D176" s="5"/>
      <c r="E176" s="5"/>
      <c r="F176" s="18" t="s">
        <v>47</v>
      </c>
    </row>
    <row r="177" ht="22" customHeight="1" spans="2:6" x14ac:dyDescent="0.25">
      <c r="B177" s="18" t="s">
        <v>48</v>
      </c>
      <c r="C177" s="22"/>
      <c r="D177" s="18" t="s">
        <v>49</v>
      </c>
      <c r="E177" s="5"/>
      <c r="F177" s="5"/>
    </row>
    <row r="178" spans="2:6" x14ac:dyDescent="0.25">
      <c r="B178" s="23" t="s">
        <v>50</v>
      </c>
      <c r="C178" s="23" t="s">
        <v>51</v>
      </c>
      <c r="D178" s="23" t="s">
        <v>52</v>
      </c>
      <c r="E178" s="23" t="s">
        <v>53</v>
      </c>
      <c r="F178" s="23" t="s">
        <v>54</v>
      </c>
    </row>
    <row r="179" spans="2:17" x14ac:dyDescent="0.25">
      <c r="B179" s="24">
        <v>1</v>
      </c>
      <c r="C179" s="22"/>
      <c r="D179" s="22"/>
      <c r="E179" s="22"/>
      <c r="F179" s="22"/>
      <c r="Q179">
        <f>IF(AND($E179="",COUNTA($C179:$D179,$F179)&gt;0),1,0)</f>
      </c>
    </row>
    <row r="180" spans="2:17" x14ac:dyDescent="0.25">
      <c r="B180" s="24">
        <v>2</v>
      </c>
      <c r="C180" s="22"/>
      <c r="D180" s="22"/>
      <c r="E180" s="22"/>
      <c r="F180" s="22"/>
      <c r="Q180">
        <f>IF(AND($E180="",COUNTA($C180:$D180,$F180)&gt;0),1,0)</f>
      </c>
    </row>
    <row r="181" spans="2:17" x14ac:dyDescent="0.25">
      <c r="B181" s="24">
        <v>3</v>
      </c>
      <c r="C181" s="22"/>
      <c r="D181" s="22"/>
      <c r="E181" s="22"/>
      <c r="F181" s="22"/>
      <c r="Q181">
        <f>IF(AND($E181="",COUNTA($C181:$D181,$F181)&gt;0),1,0)</f>
      </c>
    </row>
    <row r="182" spans="2:17" x14ac:dyDescent="0.25">
      <c r="B182" s="24">
        <v>4</v>
      </c>
      <c r="C182" s="22"/>
      <c r="D182" s="22"/>
      <c r="E182" s="22"/>
      <c r="F182" s="22"/>
      <c r="Q182">
        <f>IF(AND($E182="",COUNTA($C182:$D182,$F182)&gt;0),1,0)</f>
      </c>
    </row>
    <row r="183" spans="2:17" x14ac:dyDescent="0.25">
      <c r="B183" s="24">
        <v>5</v>
      </c>
      <c r="C183" s="22"/>
      <c r="D183" s="22"/>
      <c r="E183" s="22"/>
      <c r="F183" s="22"/>
      <c r="Q183">
        <f>IF(AND($E183="",COUNTA($C183:$D183,$F183)&gt;0),1,0)</f>
      </c>
    </row>
    <row r="184" spans="2:17" x14ac:dyDescent="0.25">
      <c r="B184" s="24">
        <v>6</v>
      </c>
      <c r="C184" s="22"/>
      <c r="D184" s="22"/>
      <c r="E184" s="22"/>
      <c r="F184" s="22"/>
      <c r="Q184">
        <f>IF(AND($E184="",COUNTA($C184:$D184,$F184)&gt;0),1,0)</f>
      </c>
    </row>
    <row r="185" spans="2:17" x14ac:dyDescent="0.25">
      <c r="B185" s="24">
        <v>7</v>
      </c>
      <c r="C185" s="22"/>
      <c r="D185" s="22"/>
      <c r="E185" s="22"/>
      <c r="F185" s="22"/>
      <c r="Q185">
        <f>IF(AND($E185="",COUNTA($C185:$D185,$F185)&gt;0),1,0)</f>
      </c>
    </row>
    <row r="186" spans="2:17" x14ac:dyDescent="0.25">
      <c r="B186" s="24">
        <v>8</v>
      </c>
      <c r="C186" s="22"/>
      <c r="D186" s="22"/>
      <c r="E186" s="22"/>
      <c r="F186" s="22"/>
      <c r="Q186">
        <f>IF(AND($E186="",COUNTA($C186:$D186,$F186)&gt;0),1,0)</f>
      </c>
    </row>
    <row r="188" spans="2:6" x14ac:dyDescent="0.25">
      <c r="B188" s="18" t="s">
        <v>44</v>
      </c>
      <c r="C188" s="19"/>
      <c r="D188" s="19"/>
      <c r="E188" s="5"/>
      <c r="F188" s="5"/>
    </row>
    <row r="189" ht="24" customHeight="1" spans="2:16" x14ac:dyDescent="0.25">
      <c r="B189" s="20" t="s">
        <v>67</v>
      </c>
      <c r="C189" s="21"/>
      <c r="D189" s="21"/>
      <c r="E189" s="21"/>
      <c r="F189" s="21"/>
      <c r="G189" s="4">
        <f>IFERROR(IF(AND($C$189="",$C$190=""),IF(COUNTA($C$188:$F$188,$E$191,$C$193:$F$200)+COUNTA($E$190,$C$191)&gt;0,"⚠ Pick an exercise for this card",""),IF(AND($C$189&lt;&gt;"",$C$190&lt;&gt;""),"⚠ Use the library OR a custom exercise, not both",IF(AND($C$190&lt;&gt;"",$E$190=""),"⚠ Pick a muscle group for the custom exercise",IF(COUNT($E$193:$E$200)=0,"⚠ Enter Goal Reps for at least one set",IF(SUM($Q$193:$Q$200)&gt;0,"⚠ A set is missing Goal Reps",IF(IF($C$191="",1=0,COUNTIF($P$7:$P$214,$C$191)&lt;2),"⚠ Superset "&amp;$C$191&amp;" needs 2+ exercises",IF($C$189&lt;&gt;"",IFERROR("✓ "&amp;INDEX('Exercise Library'!$C$2:$C$319,MATCH($C$189,'Exercise Library'!$B$2:$B$319,0))&amp;IF(INDEX('Exercise Library'!$D$2:$D$319,MATCH($C$189,'Exercise Library'!$B$2:$B$319,0))="Yes"," · demo video","")&amp;" · "&amp;COUNT($E$193:$E$200)&amp;" sets","⚠ Not in the library — use Custom"),"✓ Custom ("&amp;$E$190&amp;") · "&amp;COUNT($E$193:$E$200)&amp;" sets"))))))),"⚠ Check this row")</f>
      </c>
      <c r="P189">
        <f>IF(OR($C$189&lt;&gt;"",$C$190&lt;&gt;""),$C$191,"")</f>
      </c>
    </row>
    <row r="190" spans="2:6" x14ac:dyDescent="0.25">
      <c r="B190" s="18" t="s">
        <v>46</v>
      </c>
      <c r="C190" s="5"/>
      <c r="D190" s="5"/>
      <c r="E190" s="5"/>
      <c r="F190" s="18" t="s">
        <v>47</v>
      </c>
    </row>
    <row r="191" ht="22" customHeight="1" spans="2:6" x14ac:dyDescent="0.25">
      <c r="B191" s="18" t="s">
        <v>48</v>
      </c>
      <c r="C191" s="22"/>
      <c r="D191" s="18" t="s">
        <v>49</v>
      </c>
      <c r="E191" s="5"/>
      <c r="F191" s="5"/>
    </row>
    <row r="192" spans="2:6" x14ac:dyDescent="0.25">
      <c r="B192" s="23" t="s">
        <v>50</v>
      </c>
      <c r="C192" s="23" t="s">
        <v>51</v>
      </c>
      <c r="D192" s="23" t="s">
        <v>52</v>
      </c>
      <c r="E192" s="23" t="s">
        <v>53</v>
      </c>
      <c r="F192" s="23" t="s">
        <v>54</v>
      </c>
    </row>
    <row r="193" spans="2:17" x14ac:dyDescent="0.25">
      <c r="B193" s="24">
        <v>1</v>
      </c>
      <c r="C193" s="22"/>
      <c r="D193" s="22"/>
      <c r="E193" s="22"/>
      <c r="F193" s="22"/>
      <c r="Q193">
        <f>IF(AND($E193="",COUNTA($C193:$D193,$F193)&gt;0),1,0)</f>
      </c>
    </row>
    <row r="194" spans="2:17" x14ac:dyDescent="0.25">
      <c r="B194" s="24">
        <v>2</v>
      </c>
      <c r="C194" s="22"/>
      <c r="D194" s="22"/>
      <c r="E194" s="22"/>
      <c r="F194" s="22"/>
      <c r="Q194">
        <f>IF(AND($E194="",COUNTA($C194:$D194,$F194)&gt;0),1,0)</f>
      </c>
    </row>
    <row r="195" spans="2:17" x14ac:dyDescent="0.25">
      <c r="B195" s="24">
        <v>3</v>
      </c>
      <c r="C195" s="22"/>
      <c r="D195" s="22"/>
      <c r="E195" s="22"/>
      <c r="F195" s="22"/>
      <c r="Q195">
        <f>IF(AND($E195="",COUNTA($C195:$D195,$F195)&gt;0),1,0)</f>
      </c>
    </row>
    <row r="196" spans="2:17" x14ac:dyDescent="0.25">
      <c r="B196" s="24">
        <v>4</v>
      </c>
      <c r="C196" s="22"/>
      <c r="D196" s="22"/>
      <c r="E196" s="22"/>
      <c r="F196" s="22"/>
      <c r="Q196">
        <f>IF(AND($E196="",COUNTA($C196:$D196,$F196)&gt;0),1,0)</f>
      </c>
    </row>
    <row r="197" spans="2:17" x14ac:dyDescent="0.25">
      <c r="B197" s="24">
        <v>5</v>
      </c>
      <c r="C197" s="22"/>
      <c r="D197" s="22"/>
      <c r="E197" s="22"/>
      <c r="F197" s="22"/>
      <c r="Q197">
        <f>IF(AND($E197="",COUNTA($C197:$D197,$F197)&gt;0),1,0)</f>
      </c>
    </row>
    <row r="198" spans="2:17" x14ac:dyDescent="0.25">
      <c r="B198" s="24">
        <v>6</v>
      </c>
      <c r="C198" s="22"/>
      <c r="D198" s="22"/>
      <c r="E198" s="22"/>
      <c r="F198" s="22"/>
      <c r="Q198">
        <f>IF(AND($E198="",COUNTA($C198:$D198,$F198)&gt;0),1,0)</f>
      </c>
    </row>
    <row r="199" spans="2:17" x14ac:dyDescent="0.25">
      <c r="B199" s="24">
        <v>7</v>
      </c>
      <c r="C199" s="22"/>
      <c r="D199" s="22"/>
      <c r="E199" s="22"/>
      <c r="F199" s="22"/>
      <c r="Q199">
        <f>IF(AND($E199="",COUNTA($C199:$D199,$F199)&gt;0),1,0)</f>
      </c>
    </row>
    <row r="200" spans="2:17" x14ac:dyDescent="0.25">
      <c r="B200" s="24">
        <v>8</v>
      </c>
      <c r="C200" s="22"/>
      <c r="D200" s="22"/>
      <c r="E200" s="22"/>
      <c r="F200" s="22"/>
      <c r="Q200">
        <f>IF(AND($E200="",COUNTA($C200:$D200,$F200)&gt;0),1,0)</f>
      </c>
    </row>
    <row r="202" spans="2:6" x14ac:dyDescent="0.25">
      <c r="B202" s="18" t="s">
        <v>44</v>
      </c>
      <c r="C202" s="19"/>
      <c r="D202" s="19"/>
      <c r="E202" s="5"/>
      <c r="F202" s="5"/>
    </row>
    <row r="203" ht="24" customHeight="1" spans="2:16" x14ac:dyDescent="0.25">
      <c r="B203" s="20" t="s">
        <v>68</v>
      </c>
      <c r="C203" s="21"/>
      <c r="D203" s="21"/>
      <c r="E203" s="21"/>
      <c r="F203" s="21"/>
      <c r="G203" s="4">
        <f>IFERROR(IF(AND($C$203="",$C$204=""),IF(COUNTA($C$202:$F$202,$E$205,$C$207:$F$214)+COUNTA($E$204,$C$205)&gt;0,"⚠ Pick an exercise for this card",""),IF(AND($C$203&lt;&gt;"",$C$204&lt;&gt;""),"⚠ Use the library OR a custom exercise, not both",IF(AND($C$204&lt;&gt;"",$E$204=""),"⚠ Pick a muscle group for the custom exercise",IF(COUNT($E$207:$E$214)=0,"⚠ Enter Goal Reps for at least one set",IF(SUM($Q$207:$Q$214)&gt;0,"⚠ A set is missing Goal Reps",IF(IF($C$205="",1=0,COUNTIF($P$7:$P$214,$C$205)&lt;2),"⚠ Superset "&amp;$C$205&amp;" needs 2+ exercises",IF($C$203&lt;&gt;"",IFERROR("✓ "&amp;INDEX('Exercise Library'!$C$2:$C$319,MATCH($C$203,'Exercise Library'!$B$2:$B$319,0))&amp;IF(INDEX('Exercise Library'!$D$2:$D$319,MATCH($C$203,'Exercise Library'!$B$2:$B$319,0))="Yes"," · demo video","")&amp;" · "&amp;COUNT($E$207:$E$214)&amp;" sets","⚠ Not in the library — use Custom"),"✓ Custom ("&amp;$E$204&amp;") · "&amp;COUNT($E$207:$E$214)&amp;" sets"))))))),"⚠ Check this row")</f>
      </c>
      <c r="P203">
        <f>IF(OR($C$203&lt;&gt;"",$C$204&lt;&gt;""),$C$205,"")</f>
      </c>
    </row>
    <row r="204" spans="2:6" x14ac:dyDescent="0.25">
      <c r="B204" s="18" t="s">
        <v>46</v>
      </c>
      <c r="C204" s="5"/>
      <c r="D204" s="5"/>
      <c r="E204" s="5"/>
      <c r="F204" s="18" t="s">
        <v>47</v>
      </c>
    </row>
    <row r="205" ht="22" customHeight="1" spans="2:6" x14ac:dyDescent="0.25">
      <c r="B205" s="18" t="s">
        <v>48</v>
      </c>
      <c r="C205" s="22"/>
      <c r="D205" s="18" t="s">
        <v>49</v>
      </c>
      <c r="E205" s="5"/>
      <c r="F205" s="5"/>
    </row>
    <row r="206" spans="2:6" x14ac:dyDescent="0.25">
      <c r="B206" s="23" t="s">
        <v>50</v>
      </c>
      <c r="C206" s="23" t="s">
        <v>51</v>
      </c>
      <c r="D206" s="23" t="s">
        <v>52</v>
      </c>
      <c r="E206" s="23" t="s">
        <v>53</v>
      </c>
      <c r="F206" s="23" t="s">
        <v>54</v>
      </c>
    </row>
    <row r="207" spans="2:17" x14ac:dyDescent="0.25">
      <c r="B207" s="24">
        <v>1</v>
      </c>
      <c r="C207" s="22"/>
      <c r="D207" s="22"/>
      <c r="E207" s="22"/>
      <c r="F207" s="22"/>
      <c r="Q207">
        <f>IF(AND($E207="",COUNTA($C207:$D207,$F207)&gt;0),1,0)</f>
      </c>
    </row>
    <row r="208" spans="2:17" x14ac:dyDescent="0.25">
      <c r="B208" s="24">
        <v>2</v>
      </c>
      <c r="C208" s="22"/>
      <c r="D208" s="22"/>
      <c r="E208" s="22"/>
      <c r="F208" s="22"/>
      <c r="Q208">
        <f>IF(AND($E208="",COUNTA($C208:$D208,$F208)&gt;0),1,0)</f>
      </c>
    </row>
    <row r="209" spans="2:17" x14ac:dyDescent="0.25">
      <c r="B209" s="24">
        <v>3</v>
      </c>
      <c r="C209" s="22"/>
      <c r="D209" s="22"/>
      <c r="E209" s="22"/>
      <c r="F209" s="22"/>
      <c r="Q209">
        <f>IF(AND($E209="",COUNTA($C209:$D209,$F209)&gt;0),1,0)</f>
      </c>
    </row>
    <row r="210" spans="2:17" x14ac:dyDescent="0.25">
      <c r="B210" s="24">
        <v>4</v>
      </c>
      <c r="C210" s="22"/>
      <c r="D210" s="22"/>
      <c r="E210" s="22"/>
      <c r="F210" s="22"/>
      <c r="Q210">
        <f>IF(AND($E210="",COUNTA($C210:$D210,$F210)&gt;0),1,0)</f>
      </c>
    </row>
    <row r="211" spans="2:17" x14ac:dyDescent="0.25">
      <c r="B211" s="24">
        <v>5</v>
      </c>
      <c r="C211" s="22"/>
      <c r="D211" s="22"/>
      <c r="E211" s="22"/>
      <c r="F211" s="22"/>
      <c r="Q211">
        <f>IF(AND($E211="",COUNTA($C211:$D211,$F211)&gt;0),1,0)</f>
      </c>
    </row>
    <row r="212" spans="2:17" x14ac:dyDescent="0.25">
      <c r="B212" s="24">
        <v>6</v>
      </c>
      <c r="C212" s="22"/>
      <c r="D212" s="22"/>
      <c r="E212" s="22"/>
      <c r="F212" s="22"/>
      <c r="Q212">
        <f>IF(AND($E212="",COUNTA($C212:$D212,$F212)&gt;0),1,0)</f>
      </c>
    </row>
    <row r="213" spans="2:17" x14ac:dyDescent="0.25">
      <c r="B213" s="24">
        <v>7</v>
      </c>
      <c r="C213" s="22"/>
      <c r="D213" s="22"/>
      <c r="E213" s="22"/>
      <c r="F213" s="22"/>
      <c r="Q213">
        <f>IF(AND($E213="",COUNTA($C213:$D213,$F213)&gt;0),1,0)</f>
      </c>
    </row>
    <row r="214" spans="2:17" x14ac:dyDescent="0.25">
      <c r="B214" s="24">
        <v>8</v>
      </c>
      <c r="C214" s="22"/>
      <c r="D214" s="22"/>
      <c r="E214" s="22"/>
      <c r="F214" s="22"/>
      <c r="Q214">
        <f>IF(AND($E214="",COUNTA($C214:$D214,$F214)&gt;0),1,0)</f>
      </c>
    </row>
  </sheetData>
  <mergeCells count="78">
    <mergeCell ref="A1:G1"/>
    <mergeCell ref="C3:F3"/>
    <mergeCell ref="C4:F4"/>
    <mergeCell ref="C6:D6"/>
    <mergeCell ref="E6:F6"/>
    <mergeCell ref="C7:F7"/>
    <mergeCell ref="C8:D8"/>
    <mergeCell ref="E9:F9"/>
    <mergeCell ref="C20:D20"/>
    <mergeCell ref="E20:F20"/>
    <mergeCell ref="C21:F21"/>
    <mergeCell ref="C22:D22"/>
    <mergeCell ref="E23:F23"/>
    <mergeCell ref="C34:D34"/>
    <mergeCell ref="E34:F34"/>
    <mergeCell ref="C35:F35"/>
    <mergeCell ref="C36:D36"/>
    <mergeCell ref="E37:F37"/>
    <mergeCell ref="C48:D48"/>
    <mergeCell ref="E48:F48"/>
    <mergeCell ref="C49:F49"/>
    <mergeCell ref="C50:D50"/>
    <mergeCell ref="E51:F51"/>
    <mergeCell ref="C62:D62"/>
    <mergeCell ref="E62:F62"/>
    <mergeCell ref="C63:F63"/>
    <mergeCell ref="C64:D64"/>
    <mergeCell ref="E65:F65"/>
    <mergeCell ref="C76:D76"/>
    <mergeCell ref="E76:F76"/>
    <mergeCell ref="C77:F77"/>
    <mergeCell ref="C78:D78"/>
    <mergeCell ref="E79:F79"/>
    <mergeCell ref="C90:D90"/>
    <mergeCell ref="E90:F90"/>
    <mergeCell ref="C91:F91"/>
    <mergeCell ref="C92:D92"/>
    <mergeCell ref="E93:F93"/>
    <mergeCell ref="C104:D104"/>
    <mergeCell ref="E104:F104"/>
    <mergeCell ref="C105:F105"/>
    <mergeCell ref="C106:D106"/>
    <mergeCell ref="E107:F107"/>
    <mergeCell ref="C118:D118"/>
    <mergeCell ref="E118:F118"/>
    <mergeCell ref="C119:F119"/>
    <mergeCell ref="C120:D120"/>
    <mergeCell ref="E121:F121"/>
    <mergeCell ref="C132:D132"/>
    <mergeCell ref="E132:F132"/>
    <mergeCell ref="C133:F133"/>
    <mergeCell ref="C134:D134"/>
    <mergeCell ref="E135:F135"/>
    <mergeCell ref="C146:D146"/>
    <mergeCell ref="E146:F146"/>
    <mergeCell ref="C147:F147"/>
    <mergeCell ref="C148:D148"/>
    <mergeCell ref="E149:F149"/>
    <mergeCell ref="C160:D160"/>
    <mergeCell ref="E160:F160"/>
    <mergeCell ref="C161:F161"/>
    <mergeCell ref="C162:D162"/>
    <mergeCell ref="E163:F163"/>
    <mergeCell ref="C174:D174"/>
    <mergeCell ref="E174:F174"/>
    <mergeCell ref="C175:F175"/>
    <mergeCell ref="C176:D176"/>
    <mergeCell ref="E177:F177"/>
    <mergeCell ref="C188:D188"/>
    <mergeCell ref="E188:F188"/>
    <mergeCell ref="C189:F189"/>
    <mergeCell ref="C190:D190"/>
    <mergeCell ref="E191:F191"/>
    <mergeCell ref="C202:D202"/>
    <mergeCell ref="E202:F202"/>
    <mergeCell ref="C203:F203"/>
    <mergeCell ref="C204:D204"/>
    <mergeCell ref="E205:F205"/>
  </mergeCells>
  <conditionalFormatting sqref="A1:G1">
    <cfRule type="expression" dxfId="9" priority="1">
      <formula>$O$1="FILL"</formula>
    </cfRule>
    <cfRule type="expression" dxfId="10" priority="2">
      <formula>$O$1="SKIP"</formula>
    </cfRule>
    <cfRule type="expression" dxfId="11" priority="3">
      <formula>$O$1=""</formula>
    </cfRule>
  </conditionalFormatting>
  <conditionalFormatting sqref="G3:G214">
    <cfRule type="expression" dxfId="12" priority="1">
      <formula>LEFT(G3,1)="⚠"</formula>
    </cfRule>
    <cfRule type="expression" dxfId="13" priority="2">
      <formula>LEFT(G3,1)="✓"</formula>
    </cfRule>
  </conditionalFormatting>
  <conditionalFormatting sqref="C3:F214">
    <cfRule type="expression" dxfId="14" priority="1">
      <formula>$O$1="SKIP"</formula>
    </cfRule>
  </conditionalFormatting>
  <dataValidations count="121">
    <dataValidation type="list" allowBlank="1" showInputMessage="1" prompt="Pick from the RepLab exercise library (type to search). Library exercises come with demo videos." showErrorMessage="1" errorStyle="stop" errorTitle="Pick from the list" error="Choose one of the options in the dropdown." sqref="C105">
      <formula1>'Exercise Library'!$B$2:$B$319</formula1>
    </dataValidation>
    <dataValidation type="textLength" operator="lessThanOrEqual" allowBlank="1" showErrorMessage="1" error="200 characters or fewer." sqref="C106">
      <formula1>200</formula1>
    </dataValidation>
    <dataValidation type="list" allowBlank="1" showInputMessage="1" prompt="Same letter = same superset" showErrorMessage="1" errorStyle="stop" errorTitle="Pick from the list" error="Choose one of the options in the dropdown." sqref="C107">
      <formula1>Lists!$E$2:$E$11</formula1>
    </dataValidation>
    <dataValidation type="list" allowBlank="1" showErrorMessage="1" errorStyle="stop" errorTitle="Pick from the list" error="Choose one of the options in the dropdown." sqref="C109:C11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19">
      <formula1>'Exercise Library'!$B$2:$B$319</formula1>
    </dataValidation>
    <dataValidation type="list" allowBlank="1" showErrorMessage="1" errorStyle="stop" errorTitle="Pick from the list" error="Choose one of the options in the dropdown." sqref="C11:C18">
      <formula1>Lists!$B$2:$B$9</formula1>
    </dataValidation>
    <dataValidation type="textLength" operator="lessThanOrEqual" allowBlank="1" showErrorMessage="1" error="200 characters or fewer." sqref="C120">
      <formula1>200</formula1>
    </dataValidation>
    <dataValidation type="list" allowBlank="1" showInputMessage="1" prompt="Same letter = same superset" showErrorMessage="1" errorStyle="stop" errorTitle="Pick from the list" error="Choose one of the options in the dropdown." sqref="C121">
      <formula1>Lists!$E$2:$E$11</formula1>
    </dataValidation>
    <dataValidation type="list" allowBlank="1" showErrorMessage="1" errorStyle="stop" errorTitle="Pick from the list" error="Choose one of the options in the dropdown." sqref="C123:C13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33">
      <formula1>'Exercise Library'!$B$2:$B$319</formula1>
    </dataValidation>
    <dataValidation type="textLength" operator="lessThanOrEqual" allowBlank="1" showErrorMessage="1" error="200 characters or fewer." sqref="C134">
      <formula1>200</formula1>
    </dataValidation>
    <dataValidation type="list" allowBlank="1" showInputMessage="1" prompt="Same letter = same superset" showErrorMessage="1" errorStyle="stop" errorTitle="Pick from the list" error="Choose one of the options in the dropdown." sqref="C135">
      <formula1>Lists!$E$2:$E$11</formula1>
    </dataValidation>
    <dataValidation type="list" allowBlank="1" showErrorMessage="1" errorStyle="stop" errorTitle="Pick from the list" error="Choose one of the options in the dropdown." sqref="C137:C14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47">
      <formula1>'Exercise Library'!$B$2:$B$319</formula1>
    </dataValidation>
    <dataValidation type="textLength" operator="lessThanOrEqual" allowBlank="1" showErrorMessage="1" error="200 characters or fewer." sqref="C148">
      <formula1>200</formula1>
    </dataValidation>
    <dataValidation type="list" allowBlank="1" showInputMessage="1" prompt="Same letter = same superset" showErrorMessage="1" errorStyle="stop" errorTitle="Pick from the list" error="Choose one of the options in the dropdown." sqref="C149">
      <formula1>Lists!$E$2:$E$11</formula1>
    </dataValidation>
    <dataValidation type="list" allowBlank="1" showErrorMessage="1" errorStyle="stop" errorTitle="Pick from the list" error="Choose one of the options in the dropdown." sqref="C151:C158">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61">
      <formula1>'Exercise Library'!$B$2:$B$319</formula1>
    </dataValidation>
    <dataValidation type="textLength" operator="lessThanOrEqual" allowBlank="1" showErrorMessage="1" error="200 characters or fewer." sqref="C162">
      <formula1>200</formula1>
    </dataValidation>
    <dataValidation type="list" allowBlank="1" showInputMessage="1" prompt="Same letter = same superset" showErrorMessage="1" errorStyle="stop" errorTitle="Pick from the list" error="Choose one of the options in the dropdown." sqref="C163">
      <formula1>Lists!$E$2:$E$11</formula1>
    </dataValidation>
    <dataValidation type="list" allowBlank="1" showErrorMessage="1" errorStyle="stop" errorTitle="Pick from the list" error="Choose one of the options in the dropdown." sqref="C165:C172">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75">
      <formula1>'Exercise Library'!$B$2:$B$319</formula1>
    </dataValidation>
    <dataValidation type="textLength" operator="lessThanOrEqual" allowBlank="1" showErrorMessage="1" error="200 characters or fewer." sqref="C176">
      <formula1>200</formula1>
    </dataValidation>
    <dataValidation type="list" allowBlank="1" showInputMessage="1" prompt="Same letter = same superset" showErrorMessage="1" errorStyle="stop" errorTitle="Pick from the list" error="Choose one of the options in the dropdown." sqref="C177">
      <formula1>Lists!$E$2:$E$11</formula1>
    </dataValidation>
    <dataValidation type="list" allowBlank="1" showErrorMessage="1" errorStyle="stop" errorTitle="Pick from the list" error="Choose one of the options in the dropdown." sqref="C179:C18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89">
      <formula1>'Exercise Library'!$B$2:$B$319</formula1>
    </dataValidation>
    <dataValidation type="textLength" operator="lessThanOrEqual" allowBlank="1" showErrorMessage="1" error="200 characters or fewer." sqref="C190">
      <formula1>200</formula1>
    </dataValidation>
    <dataValidation type="list" allowBlank="1" showInputMessage="1" prompt="Same letter = same superset" showErrorMessage="1" errorStyle="stop" errorTitle="Pick from the list" error="Choose one of the options in the dropdown." sqref="C191">
      <formula1>Lists!$E$2:$E$11</formula1>
    </dataValidation>
    <dataValidation type="list" allowBlank="1" showErrorMessage="1" errorStyle="stop" errorTitle="Pick from the list" error="Choose one of the options in the dropdown." sqref="C193:C20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03">
      <formula1>'Exercise Library'!$B$2:$B$319</formula1>
    </dataValidation>
    <dataValidation type="textLength" operator="lessThanOrEqual" allowBlank="1" showErrorMessage="1" error="200 characters or fewer." sqref="C204">
      <formula1>200</formula1>
    </dataValidation>
    <dataValidation type="list" allowBlank="1" showInputMessage="1" prompt="Same letter = same superset" showErrorMessage="1" errorStyle="stop" errorTitle="Pick from the list" error="Choose one of the options in the dropdown." sqref="C205">
      <formula1>Lists!$E$2:$E$11</formula1>
    </dataValidation>
    <dataValidation type="list" allowBlank="1" showErrorMessage="1" errorStyle="stop" errorTitle="Pick from the list" error="Choose one of the options in the dropdown." sqref="C207:C21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1">
      <formula1>'Exercise Library'!$B$2:$B$319</formula1>
    </dataValidation>
    <dataValidation type="textLength" operator="lessThanOrEqual" allowBlank="1" showErrorMessage="1" error="200 characters or fewer." sqref="C22">
      <formula1>200</formula1>
    </dataValidation>
    <dataValidation type="list" allowBlank="1" showInputMessage="1" prompt="Same letter = same superset" showErrorMessage="1" errorStyle="stop" errorTitle="Pick from the list" error="Choose one of the options in the dropdown." sqref="C23">
      <formula1>Lists!$E$2:$E$11</formula1>
    </dataValidation>
    <dataValidation type="list" allowBlank="1" showErrorMessage="1" errorStyle="stop" errorTitle="Pick from the list" error="Choose one of the options in the dropdown." sqref="C25:C32">
      <formula1>Lists!$B$2:$B$9</formula1>
    </dataValidation>
    <dataValidation type="textLength" operator="lessThanOrEqual" allowBlank="1" showErrorMessage="1" error="200 characters or fewer." sqref="C3">
      <formula1>200</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35">
      <formula1>'Exercise Library'!$B$2:$B$319</formula1>
    </dataValidation>
    <dataValidation type="textLength" operator="lessThanOrEqual" allowBlank="1" showErrorMessage="1" error="200 characters or fewer." sqref="C36">
      <formula1>200</formula1>
    </dataValidation>
    <dataValidation type="list" allowBlank="1" showInputMessage="1" prompt="Same letter = same superset" showErrorMessage="1" errorStyle="stop" errorTitle="Pick from the list" error="Choose one of the options in the dropdown." sqref="C37">
      <formula1>Lists!$E$2:$E$11</formula1>
    </dataValidation>
    <dataValidation type="list" allowBlank="1" showErrorMessage="1" errorStyle="stop" errorTitle="Pick from the list" error="Choose one of the options in the dropdown." sqref="C39:C4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49">
      <formula1>'Exercise Library'!$B$2:$B$319</formula1>
    </dataValidation>
    <dataValidation type="textLength" operator="lessThanOrEqual" allowBlank="1" showErrorMessage="1" error="200 characters or fewer." sqref="C50">
      <formula1>200</formula1>
    </dataValidation>
    <dataValidation type="list" allowBlank="1" showInputMessage="1" prompt="Same letter = same superset" showErrorMessage="1" errorStyle="stop" errorTitle="Pick from the list" error="Choose one of the options in the dropdown." sqref="C51">
      <formula1>Lists!$E$2:$E$11</formula1>
    </dataValidation>
    <dataValidation type="list" allowBlank="1" showErrorMessage="1" errorStyle="stop" errorTitle="Pick from the list" error="Choose one of the options in the dropdown." sqref="C53:C6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63">
      <formula1>'Exercise Library'!$B$2:$B$319</formula1>
    </dataValidation>
    <dataValidation type="textLength" operator="lessThanOrEqual" allowBlank="1" showErrorMessage="1" error="200 characters or fewer." sqref="C64">
      <formula1>200</formula1>
    </dataValidation>
    <dataValidation type="list" allowBlank="1" showInputMessage="1" prompt="Same letter = same superset" showErrorMessage="1" errorStyle="stop" errorTitle="Pick from the list" error="Choose one of the options in the dropdown." sqref="C65">
      <formula1>Lists!$E$2:$E$11</formula1>
    </dataValidation>
    <dataValidation type="list" allowBlank="1" showErrorMessage="1" errorStyle="stop" errorTitle="Pick from the list" error="Choose one of the options in the dropdown." sqref="C67:C7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
      <formula1>'Exercise Library'!$B$2:$B$319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7">
      <formula1>'Exercise Library'!$B$2:$B$319</formula1>
    </dataValidation>
    <dataValidation type="textLength" operator="lessThanOrEqual" allowBlank="1" showErrorMessage="1" error="200 characters or fewer." sqref="C78">
      <formula1>200</formula1>
    </dataValidation>
    <dataValidation type="list" allowBlank="1" showInputMessage="1" prompt="Same letter = same superset" showErrorMessage="1" errorStyle="stop" errorTitle="Pick from the list" error="Choose one of the options in the dropdown." sqref="C79">
      <formula1>Lists!$E$2:$E$11</formula1>
    </dataValidation>
    <dataValidation type="textLength" operator="lessThanOrEqual" allowBlank="1" showErrorMessage="1" error="200 characters or fewer." sqref="C8">
      <formula1>200</formula1>
    </dataValidation>
    <dataValidation type="list" allowBlank="1" showErrorMessage="1" errorStyle="stop" errorTitle="Pick from the list" error="Choose one of the options in the dropdown." sqref="C81:C88">
      <formula1>Lists!$B$2:$B$9</formula1>
    </dataValidation>
    <dataValidation type="list" allowBlank="1" showInputMessage="1" prompt="Same letter = same superset" showErrorMessage="1" errorStyle="stop" errorTitle="Pick from the list" error="Choose one of the options in the dropdown." sqref="C9">
      <formula1>Lists!$E$2:$E$11</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91">
      <formula1>'Exercise Library'!$B$2:$B$319</formula1>
    </dataValidation>
    <dataValidation type="textLength" operator="lessThanOrEqual" allowBlank="1" showErrorMessage="1" error="200 characters or fewer." sqref="C92">
      <formula1>200</formula1>
    </dataValidation>
    <dataValidation type="list" allowBlank="1" showInputMessage="1" prompt="Same letter = same superset" showErrorMessage="1" errorStyle="stop" errorTitle="Pick from the list" error="Choose one of the options in the dropdown." sqref="C93">
      <formula1>Lists!$E$2:$E$11</formula1>
    </dataValidation>
    <dataValidation type="list" allowBlank="1" showErrorMessage="1" errorStyle="stop" errorTitle="Pick from the list" error="Choose one of the options in the dropdown." sqref="C95:C102">
      <formula1>Lists!$B$2:$B$9</formula1>
    </dataValidation>
    <dataValidation type="decimal" allowBlank="1" showErrorMessage="1" error="Goal weight: a number from 0 to 2000 (lbs)." sqref="D109:D116">
      <formula1>0</formula1>
      <formula2>2000</formula2>
    </dataValidation>
    <dataValidation type="decimal" allowBlank="1" showErrorMessage="1" error="Goal weight: a number from 0 to 2000 (lbs)." sqref="D11:D18">
      <formula1>0</formula1>
      <formula2>2000</formula2>
    </dataValidation>
    <dataValidation type="decimal" allowBlank="1" showErrorMessage="1" error="Goal weight: a number from 0 to 2000 (lbs)." sqref="D123:D130">
      <formula1>0</formula1>
      <formula2>2000</formula2>
    </dataValidation>
    <dataValidation type="decimal" allowBlank="1" showErrorMessage="1" error="Goal weight: a number from 0 to 2000 (lbs)." sqref="D137:D144">
      <formula1>0</formula1>
      <formula2>2000</formula2>
    </dataValidation>
    <dataValidation type="decimal" allowBlank="1" showErrorMessage="1" error="Goal weight: a number from 0 to 2000 (lbs)." sqref="D151:D158">
      <formula1>0</formula1>
      <formula2>2000</formula2>
    </dataValidation>
    <dataValidation type="decimal" allowBlank="1" showErrorMessage="1" error="Goal weight: a number from 0 to 2000 (lbs)." sqref="D165:D172">
      <formula1>0</formula1>
      <formula2>2000</formula2>
    </dataValidation>
    <dataValidation type="decimal" allowBlank="1" showErrorMessage="1" error="Goal weight: a number from 0 to 2000 (lbs)." sqref="D179:D186">
      <formula1>0</formula1>
      <formula2>2000</formula2>
    </dataValidation>
    <dataValidation type="decimal" allowBlank="1" showErrorMessage="1" error="Goal weight: a number from 0 to 2000 (lbs)." sqref="D193:D200">
      <formula1>0</formula1>
      <formula2>2000</formula2>
    </dataValidation>
    <dataValidation type="decimal" allowBlank="1" showErrorMessage="1" error="Goal weight: a number from 0 to 2000 (lbs)." sqref="D207:D214">
      <formula1>0</formula1>
      <formula2>2000</formula2>
    </dataValidation>
    <dataValidation type="decimal" allowBlank="1" showErrorMessage="1" error="Goal weight: a number from 0 to 2000 (lbs)." sqref="D25:D32">
      <formula1>0</formula1>
      <formula2>2000</formula2>
    </dataValidation>
    <dataValidation type="decimal" allowBlank="1" showErrorMessage="1" error="Goal weight: a number from 0 to 2000 (lbs)." sqref="D39:D46">
      <formula1>0</formula1>
      <formula2>2000</formula2>
    </dataValidation>
    <dataValidation type="decimal" allowBlank="1" showErrorMessage="1" error="Goal weight: a number from 0 to 2000 (lbs)." sqref="D53:D60">
      <formula1>0</formula1>
      <formula2>2000</formula2>
    </dataValidation>
    <dataValidation type="decimal" allowBlank="1" showErrorMessage="1" error="Goal weight: a number from 0 to 2000 (lbs)." sqref="D67:D74">
      <formula1>0</formula1>
      <formula2>2000</formula2>
    </dataValidation>
    <dataValidation type="decimal" allowBlank="1" showErrorMessage="1" error="Goal weight: a number from 0 to 2000 (lbs)." sqref="D81:D88">
      <formula1>0</formula1>
      <formula2>2000</formula2>
    </dataValidation>
    <dataValidation type="decimal" allowBlank="1" showErrorMessage="1" error="Goal weight: a number from 0 to 2000 (lbs)." sqref="D95:D102">
      <formula1>0</formula1>
      <formula2>2000</formula2>
    </dataValidation>
    <dataValidation type="list" allowBlank="1" showInputMessage="1" prompt="Muscle group for the custom exercise" showErrorMessage="1" errorStyle="stop" errorTitle="Pick from the list" error="Choose one of the options in the dropdown." sqref="E106">
      <formula1>Lists!$D$2:$D$15</formula1>
    </dataValidation>
    <dataValidation type="whole" allowBlank="1" showErrorMessage="1" error="Goal reps: a whole number from 0 to 100." sqref="E109:E116">
      <formula1>0</formula1>
      <formula2>100</formula2>
    </dataValidation>
    <dataValidation type="whole" allowBlank="1" showErrorMessage="1" error="Goal reps: a whole number from 0 to 100." sqref="E11:E18">
      <formula1>0</formula1>
      <formula2>100</formula2>
    </dataValidation>
    <dataValidation type="list" allowBlank="1" showInputMessage="1" prompt="Muscle group for the custom exercise" showErrorMessage="1" errorStyle="stop" errorTitle="Pick from the list" error="Choose one of the options in the dropdown." sqref="E120">
      <formula1>Lists!$D$2:$D$15</formula1>
    </dataValidation>
    <dataValidation type="whole" allowBlank="1" showErrorMessage="1" error="Goal reps: a whole number from 0 to 100." sqref="E123:E130">
      <formula1>0</formula1>
      <formula2>100</formula2>
    </dataValidation>
    <dataValidation type="list" allowBlank="1" showInputMessage="1" prompt="Muscle group for the custom exercise" showErrorMessage="1" errorStyle="stop" errorTitle="Pick from the list" error="Choose one of the options in the dropdown." sqref="E134">
      <formula1>Lists!$D$2:$D$15</formula1>
    </dataValidation>
    <dataValidation type="whole" allowBlank="1" showErrorMessage="1" error="Goal reps: a whole number from 0 to 100." sqref="E137:E144">
      <formula1>0</formula1>
      <formula2>100</formula2>
    </dataValidation>
    <dataValidation type="list" allowBlank="1" showInputMessage="1" prompt="Muscle group for the custom exercise" showErrorMessage="1" errorStyle="stop" errorTitle="Pick from the list" error="Choose one of the options in the dropdown." sqref="E148">
      <formula1>Lists!$D$2:$D$15</formula1>
    </dataValidation>
    <dataValidation type="whole" allowBlank="1" showErrorMessage="1" error="Goal reps: a whole number from 0 to 100." sqref="E151:E158">
      <formula1>0</formula1>
      <formula2>100</formula2>
    </dataValidation>
    <dataValidation type="list" allowBlank="1" showInputMessage="1" prompt="Muscle group for the custom exercise" showErrorMessage="1" errorStyle="stop" errorTitle="Pick from the list" error="Choose one of the options in the dropdown." sqref="E162">
      <formula1>Lists!$D$2:$D$15</formula1>
    </dataValidation>
    <dataValidation type="whole" allowBlank="1" showErrorMessage="1" error="Goal reps: a whole number from 0 to 100." sqref="E165:E172">
      <formula1>0</formula1>
      <formula2>100</formula2>
    </dataValidation>
    <dataValidation type="list" allowBlank="1" showInputMessage="1" prompt="Muscle group for the custom exercise" showErrorMessage="1" errorStyle="stop" errorTitle="Pick from the list" error="Choose one of the options in the dropdown." sqref="E176">
      <formula1>Lists!$D$2:$D$15</formula1>
    </dataValidation>
    <dataValidation type="whole" allowBlank="1" showErrorMessage="1" error="Goal reps: a whole number from 0 to 100." sqref="E179:E186">
      <formula1>0</formula1>
      <formula2>100</formula2>
    </dataValidation>
    <dataValidation type="list" allowBlank="1" showInputMessage="1" prompt="Muscle group for the custom exercise" showErrorMessage="1" errorStyle="stop" errorTitle="Pick from the list" error="Choose one of the options in the dropdown." sqref="E190">
      <formula1>Lists!$D$2:$D$15</formula1>
    </dataValidation>
    <dataValidation type="whole" allowBlank="1" showErrorMessage="1" error="Goal reps: a whole number from 0 to 100." sqref="E193:E200">
      <formula1>0</formula1>
      <formula2>100</formula2>
    </dataValidation>
    <dataValidation type="list" allowBlank="1" showInputMessage="1" prompt="Muscle group for the custom exercise" showErrorMessage="1" errorStyle="stop" errorTitle="Pick from the list" error="Choose one of the options in the dropdown." sqref="E204">
      <formula1>Lists!$D$2:$D$15</formula1>
    </dataValidation>
    <dataValidation type="whole" allowBlank="1" showErrorMessage="1" error="Goal reps: a whole number from 0 to 100." sqref="E207:E214">
      <formula1>0</formula1>
      <formula2>100</formula2>
    </dataValidation>
    <dataValidation type="list" allowBlank="1" showInputMessage="1" prompt="Muscle group for the custom exercise" showErrorMessage="1" errorStyle="stop" errorTitle="Pick from the list" error="Choose one of the options in the dropdown." sqref="E22">
      <formula1>Lists!$D$2:$D$15</formula1>
    </dataValidation>
    <dataValidation type="whole" allowBlank="1" showErrorMessage="1" error="Goal reps: a whole number from 0 to 100." sqref="E25:E32">
      <formula1>0</formula1>
      <formula2>100</formula2>
    </dataValidation>
    <dataValidation type="list" allowBlank="1" showInputMessage="1" prompt="Muscle group for the custom exercise" showErrorMessage="1" errorStyle="stop" errorTitle="Pick from the list" error="Choose one of the options in the dropdown." sqref="E36">
      <formula1>Lists!$D$2:$D$15</formula1>
    </dataValidation>
    <dataValidation type="whole" allowBlank="1" showErrorMessage="1" error="Goal reps: a whole number from 0 to 100." sqref="E39:E46">
      <formula1>0</formula1>
      <formula2>100</formula2>
    </dataValidation>
    <dataValidation type="list" allowBlank="1" showInputMessage="1" prompt="Muscle group for the custom exercise" showErrorMessage="1" errorStyle="stop" errorTitle="Pick from the list" error="Choose one of the options in the dropdown." sqref="E50">
      <formula1>Lists!$D$2:$D$15</formula1>
    </dataValidation>
    <dataValidation type="whole" allowBlank="1" showErrorMessage="1" error="Goal reps: a whole number from 0 to 100." sqref="E53:E60">
      <formula1>0</formula1>
      <formula2>100</formula2>
    </dataValidation>
    <dataValidation type="list" allowBlank="1" showInputMessage="1" prompt="Muscle group for the custom exercise" showErrorMessage="1" errorStyle="stop" errorTitle="Pick from the list" error="Choose one of the options in the dropdown." sqref="E64">
      <formula1>Lists!$D$2:$D$15</formula1>
    </dataValidation>
    <dataValidation type="whole" allowBlank="1" showErrorMessage="1" error="Goal reps: a whole number from 0 to 100." sqref="E67:E74">
      <formula1>0</formula1>
      <formula2>100</formula2>
    </dataValidation>
    <dataValidation type="list" allowBlank="1" showInputMessage="1" prompt="Muscle group for the custom exercise" showErrorMessage="1" errorStyle="stop" errorTitle="Pick from the list" error="Choose one of the options in the dropdown." sqref="E78">
      <formula1>Lists!$D$2:$D$15</formula1>
    </dataValidation>
    <dataValidation type="list" allowBlank="1" showInputMessage="1" prompt="Muscle group for the custom exercise" showErrorMessage="1" errorStyle="stop" errorTitle="Pick from the list" error="Choose one of the options in the dropdown." sqref="E8">
      <formula1>Lists!$D$2:$D$15</formula1>
    </dataValidation>
    <dataValidation type="whole" allowBlank="1" showErrorMessage="1" error="Goal reps: a whole number from 0 to 100." sqref="E81:E88">
      <formula1>0</formula1>
      <formula2>100</formula2>
    </dataValidation>
    <dataValidation type="list" allowBlank="1" showInputMessage="1" prompt="Muscle group for the custom exercise" showErrorMessage="1" errorStyle="stop" errorTitle="Pick from the list" error="Choose one of the options in the dropdown." sqref="E92">
      <formula1>Lists!$D$2:$D$15</formula1>
    </dataValidation>
    <dataValidation type="whole" allowBlank="1" showErrorMessage="1" error="Goal reps: a whole number from 0 to 100." sqref="E95:E102">
      <formula1>0</formula1>
      <formula2>100</formula2>
    </dataValidation>
    <dataValidation type="textLength" operator="lessThanOrEqual" allowBlank="1" showErrorMessage="1" error="Keep the rep range short, e.g. 8-12." sqref="F109:F116">
      <formula1>20</formula1>
    </dataValidation>
    <dataValidation type="textLength" operator="lessThanOrEqual" allowBlank="1" showErrorMessage="1" error="Keep the rep range short, e.g. 8-12." sqref="F11:F18">
      <formula1>20</formula1>
    </dataValidation>
    <dataValidation type="textLength" operator="lessThanOrEqual" allowBlank="1" showErrorMessage="1" error="Keep the rep range short, e.g. 8-12." sqref="F123:F130">
      <formula1>20</formula1>
    </dataValidation>
    <dataValidation type="textLength" operator="lessThanOrEqual" allowBlank="1" showErrorMessage="1" error="Keep the rep range short, e.g. 8-12." sqref="F137:F144">
      <formula1>20</formula1>
    </dataValidation>
    <dataValidation type="textLength" operator="lessThanOrEqual" allowBlank="1" showErrorMessage="1" error="Keep the rep range short, e.g. 8-12." sqref="F151:F158">
      <formula1>20</formula1>
    </dataValidation>
    <dataValidation type="textLength" operator="lessThanOrEqual" allowBlank="1" showErrorMessage="1" error="Keep the rep range short, e.g. 8-12." sqref="F165:F172">
      <formula1>20</formula1>
    </dataValidation>
    <dataValidation type="textLength" operator="lessThanOrEqual" allowBlank="1" showErrorMessage="1" error="Keep the rep range short, e.g. 8-12." sqref="F179:F186">
      <formula1>20</formula1>
    </dataValidation>
    <dataValidation type="textLength" operator="lessThanOrEqual" allowBlank="1" showErrorMessage="1" error="Keep the rep range short, e.g. 8-12." sqref="F193:F200">
      <formula1>20</formula1>
    </dataValidation>
    <dataValidation type="textLength" operator="lessThanOrEqual" allowBlank="1" showErrorMessage="1" error="Keep the rep range short, e.g. 8-12." sqref="F207:F214">
      <formula1>20</formula1>
    </dataValidation>
    <dataValidation type="textLength" operator="lessThanOrEqual" allowBlank="1" showErrorMessage="1" error="Keep the rep range short, e.g. 8-12." sqref="F25:F32">
      <formula1>20</formula1>
    </dataValidation>
    <dataValidation type="textLength" operator="lessThanOrEqual" allowBlank="1" showErrorMessage="1" error="Keep the rep range short, e.g. 8-12." sqref="F39:F46">
      <formula1>20</formula1>
    </dataValidation>
    <dataValidation type="textLength" operator="lessThanOrEqual" allowBlank="1" showErrorMessage="1" error="Keep the rep range short, e.g. 8-12." sqref="F53:F60">
      <formula1>20</formula1>
    </dataValidation>
    <dataValidation type="textLength" operator="lessThanOrEqual" allowBlank="1" showErrorMessage="1" error="Keep the rep range short, e.g. 8-12." sqref="F67:F74">
      <formula1>20</formula1>
    </dataValidation>
    <dataValidation type="textLength" operator="lessThanOrEqual" allowBlank="1" showErrorMessage="1" error="Keep the rep range short, e.g. 8-12." sqref="F81:F88">
      <formula1>20</formula1>
    </dataValidation>
    <dataValidation type="textLength" operator="lessThanOrEqual" allowBlank="1" showErrorMessage="1" error="Keep the rep range short, e.g. 8-12." sqref="F95:F102">
      <formula1>20</formula1>
    </dataValidation>
  </dataValidations>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A6EA5"/>
  </sheetPr>
  <dimension ref="A1:Q214"/>
  <sheetViews>
    <sheetView workbookViewId="0" showGridLines="0">
      <pane ySplit="4" topLeftCell="A5" activePane="bottomLeft" state="frozen"/>
      <selection pane="bottomLeft"/>
    </sheetView>
  </sheetViews>
  <sheetFormatPr defaultRowHeight="15" outlineLevelRow="0" outlineLevelCol="0" x14ac:dyDescent="55"/>
  <cols>
    <col min="1" max="1" width="2" customWidth="1"/>
    <col min="2" max="2" width="13" customWidth="1"/>
    <col min="3" max="3" width="18" customWidth="1"/>
    <col min="4" max="6" width="14" customWidth="1"/>
    <col min="7" max="7" width="40" customWidth="1"/>
    <col min="14" max="14" width="9" hidden="1" customWidth="1"/>
    <col min="15" max="15" width="9" hidden="1" customWidth="1"/>
    <col min="16" max="16" width="9" hidden="1" customWidth="1"/>
    <col min="17" max="17" width="9" hidden="1" customWidth="1"/>
  </cols>
  <sheetData>
    <row r="1" ht="30" customHeight="1" spans="1:15" x14ac:dyDescent="0.25">
      <c r="A1" s="14">
        <f>IF($O$1="FILL","✅  FILL OUT THIS SHEET — Workout 2",IF($O$1="SKIP","⛔  NOT NEEDED — leave this sheet blank","Start on the Start sheet: answer question 1 first"))</f>
      </c>
      <c r="B1" s="14"/>
      <c r="C1" s="14"/>
      <c r="D1" s="14"/>
      <c r="E1" s="14"/>
      <c r="F1" s="14"/>
      <c r="G1" s="14"/>
      <c r="O1">
        <f>IF(Start!$C$4="Single Workout","SKIP",IF(Start!$C$4="Program",IF(2&lt;=N(Start!$C$9),"FILL","SKIP"),""))</f>
      </c>
    </row>
    <row r="2" spans="15:15" x14ac:dyDescent="0.25">
      <c r="O2">
        <f>IF($O$1="FILL",COUNTIF($G$3:$G$214,"⚠*"),0)</f>
      </c>
    </row>
    <row r="3" ht="26" customHeight="1" spans="2:7" x14ac:dyDescent="0.25">
      <c r="B3" s="15" t="s">
        <v>42</v>
      </c>
      <c r="C3" s="16"/>
      <c r="D3" s="16"/>
      <c r="E3" s="16"/>
      <c r="F3" s="16"/>
      <c r="G3" s="17">
        <f>IFERROR(IF($O$1&lt;&gt;"FILL","",IF($C$3="","⚠ Name this workout",IF($C$3="REST","⚠ REST is reserved for rest days — pick another name",IF(COUNTIF(Lists!$A$3:$A$14,$C$3)&gt;1,"⚠ Another workout has this name",IF(COUNTA($C$7,$C$8,$C$21,$C$22,$C$35,$C$36,$C$49,$C$50,$C$63,$C$64,$C$77,$C$78,$C$91,$C$92,$C$105,$C$106,$C$119,$C$120,$C$133,$C$134,$C$147,$C$148,$C$161,$C$162,$C$175,$C$176,$C$189,$C$190,$C$203,$C$204)=0,"⚠ Add at least one exercise","✓ Looks good"))))),"⚠ Check this row")</f>
      </c>
    </row>
    <row r="4" ht="30" customHeight="1" spans="2:6" x14ac:dyDescent="0.25">
      <c r="B4" s="15" t="s">
        <v>43</v>
      </c>
      <c r="C4" s="5"/>
      <c r="D4" s="5"/>
      <c r="E4" s="5"/>
      <c r="F4" s="5"/>
    </row>
    <row r="6" spans="2:6" x14ac:dyDescent="0.25">
      <c r="B6" s="18" t="s">
        <v>44</v>
      </c>
      <c r="C6" s="19"/>
      <c r="D6" s="19"/>
      <c r="E6" s="5"/>
      <c r="F6" s="5"/>
    </row>
    <row r="7" ht="24" customHeight="1" spans="2:16" x14ac:dyDescent="0.25">
      <c r="B7" s="20" t="s">
        <v>45</v>
      </c>
      <c r="C7" s="21"/>
      <c r="D7" s="21"/>
      <c r="E7" s="21"/>
      <c r="F7" s="21"/>
      <c r="G7" s="4">
        <f>IFERROR(IF(AND($C$7="",$C$8=""),IF(COUNTA($C$6:$F$6,$E$9,$C$11:$F$18)+COUNTA($E$8,$C$9)&gt;0,"⚠ Pick an exercise for this card",""),IF(AND($C$7&lt;&gt;"",$C$8&lt;&gt;""),"⚠ Use the library OR a custom exercise, not both",IF(AND($C$8&lt;&gt;"",$E$8=""),"⚠ Pick a muscle group for the custom exercise",IF(COUNT($E$11:$E$18)=0,"⚠ Enter Goal Reps for at least one set",IF(SUM($Q$11:$Q$18)&gt;0,"⚠ A set is missing Goal Reps",IF(IF($C$9="",1=0,COUNTIF($P$7:$P$214,$C$9)&lt;2),"⚠ Superset "&amp;$C$9&amp;" needs 2+ exercises",IF($C$7&lt;&gt;"",IFERROR("✓ "&amp;INDEX('Exercise Library'!$C$2:$C$319,MATCH($C$7,'Exercise Library'!$B$2:$B$319,0))&amp;IF(INDEX('Exercise Library'!$D$2:$D$319,MATCH($C$7,'Exercise Library'!$B$2:$B$319,0))="Yes"," · demo video","")&amp;" · "&amp;COUNT($E$11:$E$18)&amp;" sets","⚠ Not in the library — use Custom"),"✓ Custom ("&amp;$E$8&amp;") · "&amp;COUNT($E$11:$E$18)&amp;" sets"))))))),"⚠ Check this row")</f>
      </c>
      <c r="P7">
        <f>IF(OR($C$7&lt;&gt;"",$C$8&lt;&gt;""),$C$9,"")</f>
      </c>
    </row>
    <row r="8" spans="2:6" x14ac:dyDescent="0.25">
      <c r="B8" s="18" t="s">
        <v>46</v>
      </c>
      <c r="C8" s="5"/>
      <c r="D8" s="5"/>
      <c r="E8" s="5"/>
      <c r="F8" s="18" t="s">
        <v>47</v>
      </c>
    </row>
    <row r="9" ht="22" customHeight="1" spans="2:6" x14ac:dyDescent="0.25">
      <c r="B9" s="18" t="s">
        <v>48</v>
      </c>
      <c r="C9" s="22"/>
      <c r="D9" s="18" t="s">
        <v>49</v>
      </c>
      <c r="E9" s="5"/>
      <c r="F9" s="5"/>
    </row>
    <row r="10" spans="2:6" x14ac:dyDescent="0.25">
      <c r="B10" s="23" t="s">
        <v>50</v>
      </c>
      <c r="C10" s="23" t="s">
        <v>51</v>
      </c>
      <c r="D10" s="23" t="s">
        <v>52</v>
      </c>
      <c r="E10" s="23" t="s">
        <v>53</v>
      </c>
      <c r="F10" s="23" t="s">
        <v>54</v>
      </c>
    </row>
    <row r="11" spans="2:17" x14ac:dyDescent="0.25">
      <c r="B11" s="24">
        <v>1</v>
      </c>
      <c r="C11" s="22"/>
      <c r="D11" s="22"/>
      <c r="E11" s="22"/>
      <c r="F11" s="22"/>
      <c r="Q11">
        <f>IF(AND($E11="",COUNTA($C11:$D11,$F11)&gt;0),1,0)</f>
      </c>
    </row>
    <row r="12" spans="2:17" x14ac:dyDescent="0.25">
      <c r="B12" s="24">
        <v>2</v>
      </c>
      <c r="C12" s="22"/>
      <c r="D12" s="22"/>
      <c r="E12" s="22"/>
      <c r="F12" s="22"/>
      <c r="Q12">
        <f>IF(AND($E12="",COUNTA($C12:$D12,$F12)&gt;0),1,0)</f>
      </c>
    </row>
    <row r="13" spans="2:17" x14ac:dyDescent="0.25">
      <c r="B13" s="24">
        <v>3</v>
      </c>
      <c r="C13" s="22"/>
      <c r="D13" s="22"/>
      <c r="E13" s="22"/>
      <c r="F13" s="22"/>
      <c r="Q13">
        <f>IF(AND($E13="",COUNTA($C13:$D13,$F13)&gt;0),1,0)</f>
      </c>
    </row>
    <row r="14" spans="2:17" x14ac:dyDescent="0.25">
      <c r="B14" s="24">
        <v>4</v>
      </c>
      <c r="C14" s="22"/>
      <c r="D14" s="22"/>
      <c r="E14" s="22"/>
      <c r="F14" s="22"/>
      <c r="Q14">
        <f>IF(AND($E14="",COUNTA($C14:$D14,$F14)&gt;0),1,0)</f>
      </c>
    </row>
    <row r="15" spans="2:17" x14ac:dyDescent="0.25">
      <c r="B15" s="24">
        <v>5</v>
      </c>
      <c r="C15" s="22"/>
      <c r="D15" s="22"/>
      <c r="E15" s="22"/>
      <c r="F15" s="22"/>
      <c r="Q15">
        <f>IF(AND($E15="",COUNTA($C15:$D15,$F15)&gt;0),1,0)</f>
      </c>
    </row>
    <row r="16" spans="2:17" x14ac:dyDescent="0.25">
      <c r="B16" s="24">
        <v>6</v>
      </c>
      <c r="C16" s="22"/>
      <c r="D16" s="22"/>
      <c r="E16" s="22"/>
      <c r="F16" s="22"/>
      <c r="Q16">
        <f>IF(AND($E16="",COUNTA($C16:$D16,$F16)&gt;0),1,0)</f>
      </c>
    </row>
    <row r="17" spans="2:17" x14ac:dyDescent="0.25">
      <c r="B17" s="24">
        <v>7</v>
      </c>
      <c r="C17" s="22"/>
      <c r="D17" s="22"/>
      <c r="E17" s="22"/>
      <c r="F17" s="22"/>
      <c r="Q17">
        <f>IF(AND($E17="",COUNTA($C17:$D17,$F17)&gt;0),1,0)</f>
      </c>
    </row>
    <row r="18" spans="2:17" x14ac:dyDescent="0.25">
      <c r="B18" s="24">
        <v>8</v>
      </c>
      <c r="C18" s="22"/>
      <c r="D18" s="22"/>
      <c r="E18" s="22"/>
      <c r="F18" s="22"/>
      <c r="Q18">
        <f>IF(AND($E18="",COUNTA($C18:$D18,$F18)&gt;0),1,0)</f>
      </c>
    </row>
    <row r="20" spans="2:6" x14ac:dyDescent="0.25">
      <c r="B20" s="18" t="s">
        <v>44</v>
      </c>
      <c r="C20" s="19"/>
      <c r="D20" s="19"/>
      <c r="E20" s="5"/>
      <c r="F20" s="5"/>
    </row>
    <row r="21" ht="24" customHeight="1" spans="2:16" x14ac:dyDescent="0.25">
      <c r="B21" s="20" t="s">
        <v>55</v>
      </c>
      <c r="C21" s="21"/>
      <c r="D21" s="21"/>
      <c r="E21" s="21"/>
      <c r="F21" s="21"/>
      <c r="G21" s="4">
        <f>IFERROR(IF(AND($C$21="",$C$22=""),IF(COUNTA($C$20:$F$20,$E$23,$C$25:$F$32)+COUNTA($E$22,$C$23)&gt;0,"⚠ Pick an exercise for this card",""),IF(AND($C$21&lt;&gt;"",$C$22&lt;&gt;""),"⚠ Use the library OR a custom exercise, not both",IF(AND($C$22&lt;&gt;"",$E$22=""),"⚠ Pick a muscle group for the custom exercise",IF(COUNT($E$25:$E$32)=0,"⚠ Enter Goal Reps for at least one set",IF(SUM($Q$25:$Q$32)&gt;0,"⚠ A set is missing Goal Reps",IF(IF($C$23="",1=0,COUNTIF($P$7:$P$214,$C$23)&lt;2),"⚠ Superset "&amp;$C$23&amp;" needs 2+ exercises",IF($C$21&lt;&gt;"",IFERROR("✓ "&amp;INDEX('Exercise Library'!$C$2:$C$319,MATCH($C$21,'Exercise Library'!$B$2:$B$319,0))&amp;IF(INDEX('Exercise Library'!$D$2:$D$319,MATCH($C$21,'Exercise Library'!$B$2:$B$319,0))="Yes"," · demo video","")&amp;" · "&amp;COUNT($E$25:$E$32)&amp;" sets","⚠ Not in the library — use Custom"),"✓ Custom ("&amp;$E$22&amp;") · "&amp;COUNT($E$25:$E$32)&amp;" sets"))))))),"⚠ Check this row")</f>
      </c>
      <c r="P21">
        <f>IF(OR($C$21&lt;&gt;"",$C$22&lt;&gt;""),$C$23,"")</f>
      </c>
    </row>
    <row r="22" spans="2:6" x14ac:dyDescent="0.25">
      <c r="B22" s="18" t="s">
        <v>46</v>
      </c>
      <c r="C22" s="5"/>
      <c r="D22" s="5"/>
      <c r="E22" s="5"/>
      <c r="F22" s="18" t="s">
        <v>47</v>
      </c>
    </row>
    <row r="23" ht="22" customHeight="1" spans="2:6" x14ac:dyDescent="0.25">
      <c r="B23" s="18" t="s">
        <v>48</v>
      </c>
      <c r="C23" s="22"/>
      <c r="D23" s="18" t="s">
        <v>49</v>
      </c>
      <c r="E23" s="5"/>
      <c r="F23" s="5"/>
    </row>
    <row r="24" spans="2:6" x14ac:dyDescent="0.25">
      <c r="B24" s="23" t="s">
        <v>50</v>
      </c>
      <c r="C24" s="23" t="s">
        <v>51</v>
      </c>
      <c r="D24" s="23" t="s">
        <v>52</v>
      </c>
      <c r="E24" s="23" t="s">
        <v>53</v>
      </c>
      <c r="F24" s="23" t="s">
        <v>54</v>
      </c>
    </row>
    <row r="25" spans="2:17" x14ac:dyDescent="0.25">
      <c r="B25" s="24">
        <v>1</v>
      </c>
      <c r="C25" s="22"/>
      <c r="D25" s="22"/>
      <c r="E25" s="22"/>
      <c r="F25" s="22"/>
      <c r="Q25">
        <f>IF(AND($E25="",COUNTA($C25:$D25,$F25)&gt;0),1,0)</f>
      </c>
    </row>
    <row r="26" spans="2:17" x14ac:dyDescent="0.25">
      <c r="B26" s="24">
        <v>2</v>
      </c>
      <c r="C26" s="22"/>
      <c r="D26" s="22"/>
      <c r="E26" s="22"/>
      <c r="F26" s="22"/>
      <c r="Q26">
        <f>IF(AND($E26="",COUNTA($C26:$D26,$F26)&gt;0),1,0)</f>
      </c>
    </row>
    <row r="27" spans="2:17" x14ac:dyDescent="0.25">
      <c r="B27" s="24">
        <v>3</v>
      </c>
      <c r="C27" s="22"/>
      <c r="D27" s="22"/>
      <c r="E27" s="22"/>
      <c r="F27" s="22"/>
      <c r="Q27">
        <f>IF(AND($E27="",COUNTA($C27:$D27,$F27)&gt;0),1,0)</f>
      </c>
    </row>
    <row r="28" spans="2:17" x14ac:dyDescent="0.25">
      <c r="B28" s="24">
        <v>4</v>
      </c>
      <c r="C28" s="22"/>
      <c r="D28" s="22"/>
      <c r="E28" s="22"/>
      <c r="F28" s="22"/>
      <c r="Q28">
        <f>IF(AND($E28="",COUNTA($C28:$D28,$F28)&gt;0),1,0)</f>
      </c>
    </row>
    <row r="29" spans="2:17" x14ac:dyDescent="0.25">
      <c r="B29" s="24">
        <v>5</v>
      </c>
      <c r="C29" s="22"/>
      <c r="D29" s="22"/>
      <c r="E29" s="22"/>
      <c r="F29" s="22"/>
      <c r="Q29">
        <f>IF(AND($E29="",COUNTA($C29:$D29,$F29)&gt;0),1,0)</f>
      </c>
    </row>
    <row r="30" spans="2:17" x14ac:dyDescent="0.25">
      <c r="B30" s="24">
        <v>6</v>
      </c>
      <c r="C30" s="22"/>
      <c r="D30" s="22"/>
      <c r="E30" s="22"/>
      <c r="F30" s="22"/>
      <c r="Q30">
        <f>IF(AND($E30="",COUNTA($C30:$D30,$F30)&gt;0),1,0)</f>
      </c>
    </row>
    <row r="31" spans="2:17" x14ac:dyDescent="0.25">
      <c r="B31" s="24">
        <v>7</v>
      </c>
      <c r="C31" s="22"/>
      <c r="D31" s="22"/>
      <c r="E31" s="22"/>
      <c r="F31" s="22"/>
      <c r="Q31">
        <f>IF(AND($E31="",COUNTA($C31:$D31,$F31)&gt;0),1,0)</f>
      </c>
    </row>
    <row r="32" spans="2:17" x14ac:dyDescent="0.25">
      <c r="B32" s="24">
        <v>8</v>
      </c>
      <c r="C32" s="22"/>
      <c r="D32" s="22"/>
      <c r="E32" s="22"/>
      <c r="F32" s="22"/>
      <c r="Q32">
        <f>IF(AND($E32="",COUNTA($C32:$D32,$F32)&gt;0),1,0)</f>
      </c>
    </row>
    <row r="34" spans="2:6" x14ac:dyDescent="0.25">
      <c r="B34" s="18" t="s">
        <v>44</v>
      </c>
      <c r="C34" s="19"/>
      <c r="D34" s="19"/>
      <c r="E34" s="5"/>
      <c r="F34" s="5"/>
    </row>
    <row r="35" ht="24" customHeight="1" spans="2:16" x14ac:dyDescent="0.25">
      <c r="B35" s="20" t="s">
        <v>56</v>
      </c>
      <c r="C35" s="21"/>
      <c r="D35" s="21"/>
      <c r="E35" s="21"/>
      <c r="F35" s="21"/>
      <c r="G35" s="4">
        <f>IFERROR(IF(AND($C$35="",$C$36=""),IF(COUNTA($C$34:$F$34,$E$37,$C$39:$F$46)+COUNTA($E$36,$C$37)&gt;0,"⚠ Pick an exercise for this card",""),IF(AND($C$35&lt;&gt;"",$C$36&lt;&gt;""),"⚠ Use the library OR a custom exercise, not both",IF(AND($C$36&lt;&gt;"",$E$36=""),"⚠ Pick a muscle group for the custom exercise",IF(COUNT($E$39:$E$46)=0,"⚠ Enter Goal Reps for at least one set",IF(SUM($Q$39:$Q$46)&gt;0,"⚠ A set is missing Goal Reps",IF(IF($C$37="",1=0,COUNTIF($P$7:$P$214,$C$37)&lt;2),"⚠ Superset "&amp;$C$37&amp;" needs 2+ exercises",IF($C$35&lt;&gt;"",IFERROR("✓ "&amp;INDEX('Exercise Library'!$C$2:$C$319,MATCH($C$35,'Exercise Library'!$B$2:$B$319,0))&amp;IF(INDEX('Exercise Library'!$D$2:$D$319,MATCH($C$35,'Exercise Library'!$B$2:$B$319,0))="Yes"," · demo video","")&amp;" · "&amp;COUNT($E$39:$E$46)&amp;" sets","⚠ Not in the library — use Custom"),"✓ Custom ("&amp;$E$36&amp;") · "&amp;COUNT($E$39:$E$46)&amp;" sets"))))))),"⚠ Check this row")</f>
      </c>
      <c r="P35">
        <f>IF(OR($C$35&lt;&gt;"",$C$36&lt;&gt;""),$C$37,"")</f>
      </c>
    </row>
    <row r="36" spans="2:6" x14ac:dyDescent="0.25">
      <c r="B36" s="18" t="s">
        <v>46</v>
      </c>
      <c r="C36" s="5"/>
      <c r="D36" s="5"/>
      <c r="E36" s="5"/>
      <c r="F36" s="18" t="s">
        <v>47</v>
      </c>
    </row>
    <row r="37" ht="22" customHeight="1" spans="2:6" x14ac:dyDescent="0.25">
      <c r="B37" s="18" t="s">
        <v>48</v>
      </c>
      <c r="C37" s="22"/>
      <c r="D37" s="18" t="s">
        <v>49</v>
      </c>
      <c r="E37" s="5"/>
      <c r="F37" s="5"/>
    </row>
    <row r="38" spans="2:6" x14ac:dyDescent="0.25">
      <c r="B38" s="23" t="s">
        <v>50</v>
      </c>
      <c r="C38" s="23" t="s">
        <v>51</v>
      </c>
      <c r="D38" s="23" t="s">
        <v>52</v>
      </c>
      <c r="E38" s="23" t="s">
        <v>53</v>
      </c>
      <c r="F38" s="23" t="s">
        <v>54</v>
      </c>
    </row>
    <row r="39" spans="2:17" x14ac:dyDescent="0.25">
      <c r="B39" s="24">
        <v>1</v>
      </c>
      <c r="C39" s="22"/>
      <c r="D39" s="22"/>
      <c r="E39" s="22"/>
      <c r="F39" s="22"/>
      <c r="Q39">
        <f>IF(AND($E39="",COUNTA($C39:$D39,$F39)&gt;0),1,0)</f>
      </c>
    </row>
    <row r="40" spans="2:17" x14ac:dyDescent="0.25">
      <c r="B40" s="24">
        <v>2</v>
      </c>
      <c r="C40" s="22"/>
      <c r="D40" s="22"/>
      <c r="E40" s="22"/>
      <c r="F40" s="22"/>
      <c r="Q40">
        <f>IF(AND($E40="",COUNTA($C40:$D40,$F40)&gt;0),1,0)</f>
      </c>
    </row>
    <row r="41" spans="2:17" x14ac:dyDescent="0.25">
      <c r="B41" s="24">
        <v>3</v>
      </c>
      <c r="C41" s="22"/>
      <c r="D41" s="22"/>
      <c r="E41" s="22"/>
      <c r="F41" s="22"/>
      <c r="Q41">
        <f>IF(AND($E41="",COUNTA($C41:$D41,$F41)&gt;0),1,0)</f>
      </c>
    </row>
    <row r="42" spans="2:17" x14ac:dyDescent="0.25">
      <c r="B42" s="24">
        <v>4</v>
      </c>
      <c r="C42" s="22"/>
      <c r="D42" s="22"/>
      <c r="E42" s="22"/>
      <c r="F42" s="22"/>
      <c r="Q42">
        <f>IF(AND($E42="",COUNTA($C42:$D42,$F42)&gt;0),1,0)</f>
      </c>
    </row>
    <row r="43" spans="2:17" x14ac:dyDescent="0.25">
      <c r="B43" s="24">
        <v>5</v>
      </c>
      <c r="C43" s="22"/>
      <c r="D43" s="22"/>
      <c r="E43" s="22"/>
      <c r="F43" s="22"/>
      <c r="Q43">
        <f>IF(AND($E43="",COUNTA($C43:$D43,$F43)&gt;0),1,0)</f>
      </c>
    </row>
    <row r="44" spans="2:17" x14ac:dyDescent="0.25">
      <c r="B44" s="24">
        <v>6</v>
      </c>
      <c r="C44" s="22"/>
      <c r="D44" s="22"/>
      <c r="E44" s="22"/>
      <c r="F44" s="22"/>
      <c r="Q44">
        <f>IF(AND($E44="",COUNTA($C44:$D44,$F44)&gt;0),1,0)</f>
      </c>
    </row>
    <row r="45" spans="2:17" x14ac:dyDescent="0.25">
      <c r="B45" s="24">
        <v>7</v>
      </c>
      <c r="C45" s="22"/>
      <c r="D45" s="22"/>
      <c r="E45" s="22"/>
      <c r="F45" s="22"/>
      <c r="Q45">
        <f>IF(AND($E45="",COUNTA($C45:$D45,$F45)&gt;0),1,0)</f>
      </c>
    </row>
    <row r="46" spans="2:17" x14ac:dyDescent="0.25">
      <c r="B46" s="24">
        <v>8</v>
      </c>
      <c r="C46" s="22"/>
      <c r="D46" s="22"/>
      <c r="E46" s="22"/>
      <c r="F46" s="22"/>
      <c r="Q46">
        <f>IF(AND($E46="",COUNTA($C46:$D46,$F46)&gt;0),1,0)</f>
      </c>
    </row>
    <row r="48" spans="2:6" x14ac:dyDescent="0.25">
      <c r="B48" s="18" t="s">
        <v>44</v>
      </c>
      <c r="C48" s="19"/>
      <c r="D48" s="19"/>
      <c r="E48" s="5"/>
      <c r="F48" s="5"/>
    </row>
    <row r="49" ht="24" customHeight="1" spans="2:16" x14ac:dyDescent="0.25">
      <c r="B49" s="20" t="s">
        <v>57</v>
      </c>
      <c r="C49" s="21"/>
      <c r="D49" s="21"/>
      <c r="E49" s="21"/>
      <c r="F49" s="21"/>
      <c r="G49" s="4">
        <f>IFERROR(IF(AND($C$49="",$C$50=""),IF(COUNTA($C$48:$F$48,$E$51,$C$53:$F$60)+COUNTA($E$50,$C$51)&gt;0,"⚠ Pick an exercise for this card",""),IF(AND($C$49&lt;&gt;"",$C$50&lt;&gt;""),"⚠ Use the library OR a custom exercise, not both",IF(AND($C$50&lt;&gt;"",$E$50=""),"⚠ Pick a muscle group for the custom exercise",IF(COUNT($E$53:$E$60)=0,"⚠ Enter Goal Reps for at least one set",IF(SUM($Q$53:$Q$60)&gt;0,"⚠ A set is missing Goal Reps",IF(IF($C$51="",1=0,COUNTIF($P$7:$P$214,$C$51)&lt;2),"⚠ Superset "&amp;$C$51&amp;" needs 2+ exercises",IF($C$49&lt;&gt;"",IFERROR("✓ "&amp;INDEX('Exercise Library'!$C$2:$C$319,MATCH($C$49,'Exercise Library'!$B$2:$B$319,0))&amp;IF(INDEX('Exercise Library'!$D$2:$D$319,MATCH($C$49,'Exercise Library'!$B$2:$B$319,0))="Yes"," · demo video","")&amp;" · "&amp;COUNT($E$53:$E$60)&amp;" sets","⚠ Not in the library — use Custom"),"✓ Custom ("&amp;$E$50&amp;") · "&amp;COUNT($E$53:$E$60)&amp;" sets"))))))),"⚠ Check this row")</f>
      </c>
      <c r="P49">
        <f>IF(OR($C$49&lt;&gt;"",$C$50&lt;&gt;""),$C$51,"")</f>
      </c>
    </row>
    <row r="50" spans="2:6" x14ac:dyDescent="0.25">
      <c r="B50" s="18" t="s">
        <v>46</v>
      </c>
      <c r="C50" s="5"/>
      <c r="D50" s="5"/>
      <c r="E50" s="5"/>
      <c r="F50" s="18" t="s">
        <v>47</v>
      </c>
    </row>
    <row r="51" ht="22" customHeight="1" spans="2:6" x14ac:dyDescent="0.25">
      <c r="B51" s="18" t="s">
        <v>48</v>
      </c>
      <c r="C51" s="22"/>
      <c r="D51" s="18" t="s">
        <v>49</v>
      </c>
      <c r="E51" s="5"/>
      <c r="F51" s="5"/>
    </row>
    <row r="52" spans="2:6" x14ac:dyDescent="0.25">
      <c r="B52" s="23" t="s">
        <v>50</v>
      </c>
      <c r="C52" s="23" t="s">
        <v>51</v>
      </c>
      <c r="D52" s="23" t="s">
        <v>52</v>
      </c>
      <c r="E52" s="23" t="s">
        <v>53</v>
      </c>
      <c r="F52" s="23" t="s">
        <v>54</v>
      </c>
    </row>
    <row r="53" spans="2:17" x14ac:dyDescent="0.25">
      <c r="B53" s="24">
        <v>1</v>
      </c>
      <c r="C53" s="22"/>
      <c r="D53" s="22"/>
      <c r="E53" s="22"/>
      <c r="F53" s="22"/>
      <c r="Q53">
        <f>IF(AND($E53="",COUNTA($C53:$D53,$F53)&gt;0),1,0)</f>
      </c>
    </row>
    <row r="54" spans="2:17" x14ac:dyDescent="0.25">
      <c r="B54" s="24">
        <v>2</v>
      </c>
      <c r="C54" s="22"/>
      <c r="D54" s="22"/>
      <c r="E54" s="22"/>
      <c r="F54" s="22"/>
      <c r="Q54">
        <f>IF(AND($E54="",COUNTA($C54:$D54,$F54)&gt;0),1,0)</f>
      </c>
    </row>
    <row r="55" spans="2:17" x14ac:dyDescent="0.25">
      <c r="B55" s="24">
        <v>3</v>
      </c>
      <c r="C55" s="22"/>
      <c r="D55" s="22"/>
      <c r="E55" s="22"/>
      <c r="F55" s="22"/>
      <c r="Q55">
        <f>IF(AND($E55="",COUNTA($C55:$D55,$F55)&gt;0),1,0)</f>
      </c>
    </row>
    <row r="56" spans="2:17" x14ac:dyDescent="0.25">
      <c r="B56" s="24">
        <v>4</v>
      </c>
      <c r="C56" s="22"/>
      <c r="D56" s="22"/>
      <c r="E56" s="22"/>
      <c r="F56" s="22"/>
      <c r="Q56">
        <f>IF(AND($E56="",COUNTA($C56:$D56,$F56)&gt;0),1,0)</f>
      </c>
    </row>
    <row r="57" spans="2:17" x14ac:dyDescent="0.25">
      <c r="B57" s="24">
        <v>5</v>
      </c>
      <c r="C57" s="22"/>
      <c r="D57" s="22"/>
      <c r="E57" s="22"/>
      <c r="F57" s="22"/>
      <c r="Q57">
        <f>IF(AND($E57="",COUNTA($C57:$D57,$F57)&gt;0),1,0)</f>
      </c>
    </row>
    <row r="58" spans="2:17" x14ac:dyDescent="0.25">
      <c r="B58" s="24">
        <v>6</v>
      </c>
      <c r="C58" s="22"/>
      <c r="D58" s="22"/>
      <c r="E58" s="22"/>
      <c r="F58" s="22"/>
      <c r="Q58">
        <f>IF(AND($E58="",COUNTA($C58:$D58,$F58)&gt;0),1,0)</f>
      </c>
    </row>
    <row r="59" spans="2:17" x14ac:dyDescent="0.25">
      <c r="B59" s="24">
        <v>7</v>
      </c>
      <c r="C59" s="22"/>
      <c r="D59" s="22"/>
      <c r="E59" s="22"/>
      <c r="F59" s="22"/>
      <c r="Q59">
        <f>IF(AND($E59="",COUNTA($C59:$D59,$F59)&gt;0),1,0)</f>
      </c>
    </row>
    <row r="60" spans="2:17" x14ac:dyDescent="0.25">
      <c r="B60" s="24">
        <v>8</v>
      </c>
      <c r="C60" s="22"/>
      <c r="D60" s="22"/>
      <c r="E60" s="22"/>
      <c r="F60" s="22"/>
      <c r="Q60">
        <f>IF(AND($E60="",COUNTA($C60:$D60,$F60)&gt;0),1,0)</f>
      </c>
    </row>
    <row r="62" spans="2:6" x14ac:dyDescent="0.25">
      <c r="B62" s="18" t="s">
        <v>44</v>
      </c>
      <c r="C62" s="19"/>
      <c r="D62" s="19"/>
      <c r="E62" s="5"/>
      <c r="F62" s="5"/>
    </row>
    <row r="63" ht="24" customHeight="1" spans="2:16" x14ac:dyDescent="0.25">
      <c r="B63" s="20" t="s">
        <v>58</v>
      </c>
      <c r="C63" s="21"/>
      <c r="D63" s="21"/>
      <c r="E63" s="21"/>
      <c r="F63" s="21"/>
      <c r="G63" s="4">
        <f>IFERROR(IF(AND($C$63="",$C$64=""),IF(COUNTA($C$62:$F$62,$E$65,$C$67:$F$74)+COUNTA($E$64,$C$65)&gt;0,"⚠ Pick an exercise for this card",""),IF(AND($C$63&lt;&gt;"",$C$64&lt;&gt;""),"⚠ Use the library OR a custom exercise, not both",IF(AND($C$64&lt;&gt;"",$E$64=""),"⚠ Pick a muscle group for the custom exercise",IF(COUNT($E$67:$E$74)=0,"⚠ Enter Goal Reps for at least one set",IF(SUM($Q$67:$Q$74)&gt;0,"⚠ A set is missing Goal Reps",IF(IF($C$65="",1=0,COUNTIF($P$7:$P$214,$C$65)&lt;2),"⚠ Superset "&amp;$C$65&amp;" needs 2+ exercises",IF($C$63&lt;&gt;"",IFERROR("✓ "&amp;INDEX('Exercise Library'!$C$2:$C$319,MATCH($C$63,'Exercise Library'!$B$2:$B$319,0))&amp;IF(INDEX('Exercise Library'!$D$2:$D$319,MATCH($C$63,'Exercise Library'!$B$2:$B$319,0))="Yes"," · demo video","")&amp;" · "&amp;COUNT($E$67:$E$74)&amp;" sets","⚠ Not in the library — use Custom"),"✓ Custom ("&amp;$E$64&amp;") · "&amp;COUNT($E$67:$E$74)&amp;" sets"))))))),"⚠ Check this row")</f>
      </c>
      <c r="P63">
        <f>IF(OR($C$63&lt;&gt;"",$C$64&lt;&gt;""),$C$65,"")</f>
      </c>
    </row>
    <row r="64" spans="2:6" x14ac:dyDescent="0.25">
      <c r="B64" s="18" t="s">
        <v>46</v>
      </c>
      <c r="C64" s="5"/>
      <c r="D64" s="5"/>
      <c r="E64" s="5"/>
      <c r="F64" s="18" t="s">
        <v>47</v>
      </c>
    </row>
    <row r="65" ht="22" customHeight="1" spans="2:6" x14ac:dyDescent="0.25">
      <c r="B65" s="18" t="s">
        <v>48</v>
      </c>
      <c r="C65" s="22"/>
      <c r="D65" s="18" t="s">
        <v>49</v>
      </c>
      <c r="E65" s="5"/>
      <c r="F65" s="5"/>
    </row>
    <row r="66" spans="2:6" x14ac:dyDescent="0.25">
      <c r="B66" s="23" t="s">
        <v>50</v>
      </c>
      <c r="C66" s="23" t="s">
        <v>51</v>
      </c>
      <c r="D66" s="23" t="s">
        <v>52</v>
      </c>
      <c r="E66" s="23" t="s">
        <v>53</v>
      </c>
      <c r="F66" s="23" t="s">
        <v>54</v>
      </c>
    </row>
    <row r="67" spans="2:17" x14ac:dyDescent="0.25">
      <c r="B67" s="24">
        <v>1</v>
      </c>
      <c r="C67" s="22"/>
      <c r="D67" s="22"/>
      <c r="E67" s="22"/>
      <c r="F67" s="22"/>
      <c r="Q67">
        <f>IF(AND($E67="",COUNTA($C67:$D67,$F67)&gt;0),1,0)</f>
      </c>
    </row>
    <row r="68" spans="2:17" x14ac:dyDescent="0.25">
      <c r="B68" s="24">
        <v>2</v>
      </c>
      <c r="C68" s="22"/>
      <c r="D68" s="22"/>
      <c r="E68" s="22"/>
      <c r="F68" s="22"/>
      <c r="Q68">
        <f>IF(AND($E68="",COUNTA($C68:$D68,$F68)&gt;0),1,0)</f>
      </c>
    </row>
    <row r="69" spans="2:17" x14ac:dyDescent="0.25">
      <c r="B69" s="24">
        <v>3</v>
      </c>
      <c r="C69" s="22"/>
      <c r="D69" s="22"/>
      <c r="E69" s="22"/>
      <c r="F69" s="22"/>
      <c r="Q69">
        <f>IF(AND($E69="",COUNTA($C69:$D69,$F69)&gt;0),1,0)</f>
      </c>
    </row>
    <row r="70" spans="2:17" x14ac:dyDescent="0.25">
      <c r="B70" s="24">
        <v>4</v>
      </c>
      <c r="C70" s="22"/>
      <c r="D70" s="22"/>
      <c r="E70" s="22"/>
      <c r="F70" s="22"/>
      <c r="Q70">
        <f>IF(AND($E70="",COUNTA($C70:$D70,$F70)&gt;0),1,0)</f>
      </c>
    </row>
    <row r="71" spans="2:17" x14ac:dyDescent="0.25">
      <c r="B71" s="24">
        <v>5</v>
      </c>
      <c r="C71" s="22"/>
      <c r="D71" s="22"/>
      <c r="E71" s="22"/>
      <c r="F71" s="22"/>
      <c r="Q71">
        <f>IF(AND($E71="",COUNTA($C71:$D71,$F71)&gt;0),1,0)</f>
      </c>
    </row>
    <row r="72" spans="2:17" x14ac:dyDescent="0.25">
      <c r="B72" s="24">
        <v>6</v>
      </c>
      <c r="C72" s="22"/>
      <c r="D72" s="22"/>
      <c r="E72" s="22"/>
      <c r="F72" s="22"/>
      <c r="Q72">
        <f>IF(AND($E72="",COUNTA($C72:$D72,$F72)&gt;0),1,0)</f>
      </c>
    </row>
    <row r="73" spans="2:17" x14ac:dyDescent="0.25">
      <c r="B73" s="24">
        <v>7</v>
      </c>
      <c r="C73" s="22"/>
      <c r="D73" s="22"/>
      <c r="E73" s="22"/>
      <c r="F73" s="22"/>
      <c r="Q73">
        <f>IF(AND($E73="",COUNTA($C73:$D73,$F73)&gt;0),1,0)</f>
      </c>
    </row>
    <row r="74" spans="2:17" x14ac:dyDescent="0.25">
      <c r="B74" s="24">
        <v>8</v>
      </c>
      <c r="C74" s="22"/>
      <c r="D74" s="22"/>
      <c r="E74" s="22"/>
      <c r="F74" s="22"/>
      <c r="Q74">
        <f>IF(AND($E74="",COUNTA($C74:$D74,$F74)&gt;0),1,0)</f>
      </c>
    </row>
    <row r="76" spans="2:6" x14ac:dyDescent="0.25">
      <c r="B76" s="18" t="s">
        <v>44</v>
      </c>
      <c r="C76" s="19"/>
      <c r="D76" s="19"/>
      <c r="E76" s="5"/>
      <c r="F76" s="5"/>
    </row>
    <row r="77" ht="24" customHeight="1" spans="2:16" x14ac:dyDescent="0.25">
      <c r="B77" s="20" t="s">
        <v>59</v>
      </c>
      <c r="C77" s="21"/>
      <c r="D77" s="21"/>
      <c r="E77" s="21"/>
      <c r="F77" s="21"/>
      <c r="G77" s="4">
        <f>IFERROR(IF(AND($C$77="",$C$78=""),IF(COUNTA($C$76:$F$76,$E$79,$C$81:$F$88)+COUNTA($E$78,$C$79)&gt;0,"⚠ Pick an exercise for this card",""),IF(AND($C$77&lt;&gt;"",$C$78&lt;&gt;""),"⚠ Use the library OR a custom exercise, not both",IF(AND($C$78&lt;&gt;"",$E$78=""),"⚠ Pick a muscle group for the custom exercise",IF(COUNT($E$81:$E$88)=0,"⚠ Enter Goal Reps for at least one set",IF(SUM($Q$81:$Q$88)&gt;0,"⚠ A set is missing Goal Reps",IF(IF($C$79="",1=0,COUNTIF($P$7:$P$214,$C$79)&lt;2),"⚠ Superset "&amp;$C$79&amp;" needs 2+ exercises",IF($C$77&lt;&gt;"",IFERROR("✓ "&amp;INDEX('Exercise Library'!$C$2:$C$319,MATCH($C$77,'Exercise Library'!$B$2:$B$319,0))&amp;IF(INDEX('Exercise Library'!$D$2:$D$319,MATCH($C$77,'Exercise Library'!$B$2:$B$319,0))="Yes"," · demo video","")&amp;" · "&amp;COUNT($E$81:$E$88)&amp;" sets","⚠ Not in the library — use Custom"),"✓ Custom ("&amp;$E$78&amp;") · "&amp;COUNT($E$81:$E$88)&amp;" sets"))))))),"⚠ Check this row")</f>
      </c>
      <c r="P77">
        <f>IF(OR($C$77&lt;&gt;"",$C$78&lt;&gt;""),$C$79,"")</f>
      </c>
    </row>
    <row r="78" spans="2:6" x14ac:dyDescent="0.25">
      <c r="B78" s="18" t="s">
        <v>46</v>
      </c>
      <c r="C78" s="5"/>
      <c r="D78" s="5"/>
      <c r="E78" s="5"/>
      <c r="F78" s="18" t="s">
        <v>47</v>
      </c>
    </row>
    <row r="79" ht="22" customHeight="1" spans="2:6" x14ac:dyDescent="0.25">
      <c r="B79" s="18" t="s">
        <v>48</v>
      </c>
      <c r="C79" s="22"/>
      <c r="D79" s="18" t="s">
        <v>49</v>
      </c>
      <c r="E79" s="5"/>
      <c r="F79" s="5"/>
    </row>
    <row r="80" spans="2:6" x14ac:dyDescent="0.25">
      <c r="B80" s="23" t="s">
        <v>50</v>
      </c>
      <c r="C80" s="23" t="s">
        <v>51</v>
      </c>
      <c r="D80" s="23" t="s">
        <v>52</v>
      </c>
      <c r="E80" s="23" t="s">
        <v>53</v>
      </c>
      <c r="F80" s="23" t="s">
        <v>54</v>
      </c>
    </row>
    <row r="81" spans="2:17" x14ac:dyDescent="0.25">
      <c r="B81" s="24">
        <v>1</v>
      </c>
      <c r="C81" s="22"/>
      <c r="D81" s="22"/>
      <c r="E81" s="22"/>
      <c r="F81" s="22"/>
      <c r="Q81">
        <f>IF(AND($E81="",COUNTA($C81:$D81,$F81)&gt;0),1,0)</f>
      </c>
    </row>
    <row r="82" spans="2:17" x14ac:dyDescent="0.25">
      <c r="B82" s="24">
        <v>2</v>
      </c>
      <c r="C82" s="22"/>
      <c r="D82" s="22"/>
      <c r="E82" s="22"/>
      <c r="F82" s="22"/>
      <c r="Q82">
        <f>IF(AND($E82="",COUNTA($C82:$D82,$F82)&gt;0),1,0)</f>
      </c>
    </row>
    <row r="83" spans="2:17" x14ac:dyDescent="0.25">
      <c r="B83" s="24">
        <v>3</v>
      </c>
      <c r="C83" s="22"/>
      <c r="D83" s="22"/>
      <c r="E83" s="22"/>
      <c r="F83" s="22"/>
      <c r="Q83">
        <f>IF(AND($E83="",COUNTA($C83:$D83,$F83)&gt;0),1,0)</f>
      </c>
    </row>
    <row r="84" spans="2:17" x14ac:dyDescent="0.25">
      <c r="B84" s="24">
        <v>4</v>
      </c>
      <c r="C84" s="22"/>
      <c r="D84" s="22"/>
      <c r="E84" s="22"/>
      <c r="F84" s="22"/>
      <c r="Q84">
        <f>IF(AND($E84="",COUNTA($C84:$D84,$F84)&gt;0),1,0)</f>
      </c>
    </row>
    <row r="85" spans="2:17" x14ac:dyDescent="0.25">
      <c r="B85" s="24">
        <v>5</v>
      </c>
      <c r="C85" s="22"/>
      <c r="D85" s="22"/>
      <c r="E85" s="22"/>
      <c r="F85" s="22"/>
      <c r="Q85">
        <f>IF(AND($E85="",COUNTA($C85:$D85,$F85)&gt;0),1,0)</f>
      </c>
    </row>
    <row r="86" spans="2:17" x14ac:dyDescent="0.25">
      <c r="B86" s="24">
        <v>6</v>
      </c>
      <c r="C86" s="22"/>
      <c r="D86" s="22"/>
      <c r="E86" s="22"/>
      <c r="F86" s="22"/>
      <c r="Q86">
        <f>IF(AND($E86="",COUNTA($C86:$D86,$F86)&gt;0),1,0)</f>
      </c>
    </row>
    <row r="87" spans="2:17" x14ac:dyDescent="0.25">
      <c r="B87" s="24">
        <v>7</v>
      </c>
      <c r="C87" s="22"/>
      <c r="D87" s="22"/>
      <c r="E87" s="22"/>
      <c r="F87" s="22"/>
      <c r="Q87">
        <f>IF(AND($E87="",COUNTA($C87:$D87,$F87)&gt;0),1,0)</f>
      </c>
    </row>
    <row r="88" spans="2:17" x14ac:dyDescent="0.25">
      <c r="B88" s="24">
        <v>8</v>
      </c>
      <c r="C88" s="22"/>
      <c r="D88" s="22"/>
      <c r="E88" s="22"/>
      <c r="F88" s="22"/>
      <c r="Q88">
        <f>IF(AND($E88="",COUNTA($C88:$D88,$F88)&gt;0),1,0)</f>
      </c>
    </row>
    <row r="90" spans="2:6" x14ac:dyDescent="0.25">
      <c r="B90" s="18" t="s">
        <v>44</v>
      </c>
      <c r="C90" s="19"/>
      <c r="D90" s="19"/>
      <c r="E90" s="5"/>
      <c r="F90" s="5"/>
    </row>
    <row r="91" ht="24" customHeight="1" spans="2:16" x14ac:dyDescent="0.25">
      <c r="B91" s="20" t="s">
        <v>60</v>
      </c>
      <c r="C91" s="21"/>
      <c r="D91" s="21"/>
      <c r="E91" s="21"/>
      <c r="F91" s="21"/>
      <c r="G91" s="4">
        <f>IFERROR(IF(AND($C$91="",$C$92=""),IF(COUNTA($C$90:$F$90,$E$93,$C$95:$F$102)+COUNTA($E$92,$C$93)&gt;0,"⚠ Pick an exercise for this card",""),IF(AND($C$91&lt;&gt;"",$C$92&lt;&gt;""),"⚠ Use the library OR a custom exercise, not both",IF(AND($C$92&lt;&gt;"",$E$92=""),"⚠ Pick a muscle group for the custom exercise",IF(COUNT($E$95:$E$102)=0,"⚠ Enter Goal Reps for at least one set",IF(SUM($Q$95:$Q$102)&gt;0,"⚠ A set is missing Goal Reps",IF(IF($C$93="",1=0,COUNTIF($P$7:$P$214,$C$93)&lt;2),"⚠ Superset "&amp;$C$93&amp;" needs 2+ exercises",IF($C$91&lt;&gt;"",IFERROR("✓ "&amp;INDEX('Exercise Library'!$C$2:$C$319,MATCH($C$91,'Exercise Library'!$B$2:$B$319,0))&amp;IF(INDEX('Exercise Library'!$D$2:$D$319,MATCH($C$91,'Exercise Library'!$B$2:$B$319,0))="Yes"," · demo video","")&amp;" · "&amp;COUNT($E$95:$E$102)&amp;" sets","⚠ Not in the library — use Custom"),"✓ Custom ("&amp;$E$92&amp;") · "&amp;COUNT($E$95:$E$102)&amp;" sets"))))))),"⚠ Check this row")</f>
      </c>
      <c r="P91">
        <f>IF(OR($C$91&lt;&gt;"",$C$92&lt;&gt;""),$C$93,"")</f>
      </c>
    </row>
    <row r="92" spans="2:6" x14ac:dyDescent="0.25">
      <c r="B92" s="18" t="s">
        <v>46</v>
      </c>
      <c r="C92" s="5"/>
      <c r="D92" s="5"/>
      <c r="E92" s="5"/>
      <c r="F92" s="18" t="s">
        <v>47</v>
      </c>
    </row>
    <row r="93" ht="22" customHeight="1" spans="2:6" x14ac:dyDescent="0.25">
      <c r="B93" s="18" t="s">
        <v>48</v>
      </c>
      <c r="C93" s="22"/>
      <c r="D93" s="18" t="s">
        <v>49</v>
      </c>
      <c r="E93" s="5"/>
      <c r="F93" s="5"/>
    </row>
    <row r="94" spans="2:6" x14ac:dyDescent="0.25">
      <c r="B94" s="23" t="s">
        <v>50</v>
      </c>
      <c r="C94" s="23" t="s">
        <v>51</v>
      </c>
      <c r="D94" s="23" t="s">
        <v>52</v>
      </c>
      <c r="E94" s="23" t="s">
        <v>53</v>
      </c>
      <c r="F94" s="23" t="s">
        <v>54</v>
      </c>
    </row>
    <row r="95" spans="2:17" x14ac:dyDescent="0.25">
      <c r="B95" s="24">
        <v>1</v>
      </c>
      <c r="C95" s="22"/>
      <c r="D95" s="22"/>
      <c r="E95" s="22"/>
      <c r="F95" s="22"/>
      <c r="Q95">
        <f>IF(AND($E95="",COUNTA($C95:$D95,$F95)&gt;0),1,0)</f>
      </c>
    </row>
    <row r="96" spans="2:17" x14ac:dyDescent="0.25">
      <c r="B96" s="24">
        <v>2</v>
      </c>
      <c r="C96" s="22"/>
      <c r="D96" s="22"/>
      <c r="E96" s="22"/>
      <c r="F96" s="22"/>
      <c r="Q96">
        <f>IF(AND($E96="",COUNTA($C96:$D96,$F96)&gt;0),1,0)</f>
      </c>
    </row>
    <row r="97" spans="2:17" x14ac:dyDescent="0.25">
      <c r="B97" s="24">
        <v>3</v>
      </c>
      <c r="C97" s="22"/>
      <c r="D97" s="22"/>
      <c r="E97" s="22"/>
      <c r="F97" s="22"/>
      <c r="Q97">
        <f>IF(AND($E97="",COUNTA($C97:$D97,$F97)&gt;0),1,0)</f>
      </c>
    </row>
    <row r="98" spans="2:17" x14ac:dyDescent="0.25">
      <c r="B98" s="24">
        <v>4</v>
      </c>
      <c r="C98" s="22"/>
      <c r="D98" s="22"/>
      <c r="E98" s="22"/>
      <c r="F98" s="22"/>
      <c r="Q98">
        <f>IF(AND($E98="",COUNTA($C98:$D98,$F98)&gt;0),1,0)</f>
      </c>
    </row>
    <row r="99" spans="2:17" x14ac:dyDescent="0.25">
      <c r="B99" s="24">
        <v>5</v>
      </c>
      <c r="C99" s="22"/>
      <c r="D99" s="22"/>
      <c r="E99" s="22"/>
      <c r="F99" s="22"/>
      <c r="Q99">
        <f>IF(AND($E99="",COUNTA($C99:$D99,$F99)&gt;0),1,0)</f>
      </c>
    </row>
    <row r="100" spans="2:17" x14ac:dyDescent="0.25">
      <c r="B100" s="24">
        <v>6</v>
      </c>
      <c r="C100" s="22"/>
      <c r="D100" s="22"/>
      <c r="E100" s="22"/>
      <c r="F100" s="22"/>
      <c r="Q100">
        <f>IF(AND($E100="",COUNTA($C100:$D100,$F100)&gt;0),1,0)</f>
      </c>
    </row>
    <row r="101" spans="2:17" x14ac:dyDescent="0.25">
      <c r="B101" s="24">
        <v>7</v>
      </c>
      <c r="C101" s="22"/>
      <c r="D101" s="22"/>
      <c r="E101" s="22"/>
      <c r="F101" s="22"/>
      <c r="Q101">
        <f>IF(AND($E101="",COUNTA($C101:$D101,$F101)&gt;0),1,0)</f>
      </c>
    </row>
    <row r="102" spans="2:17" x14ac:dyDescent="0.25">
      <c r="B102" s="24">
        <v>8</v>
      </c>
      <c r="C102" s="22"/>
      <c r="D102" s="22"/>
      <c r="E102" s="22"/>
      <c r="F102" s="22"/>
      <c r="Q102">
        <f>IF(AND($E102="",COUNTA($C102:$D102,$F102)&gt;0),1,0)</f>
      </c>
    </row>
    <row r="104" spans="2:6" x14ac:dyDescent="0.25">
      <c r="B104" s="18" t="s">
        <v>44</v>
      </c>
      <c r="C104" s="19"/>
      <c r="D104" s="19"/>
      <c r="E104" s="5"/>
      <c r="F104" s="5"/>
    </row>
    <row r="105" ht="24" customHeight="1" spans="2:16" x14ac:dyDescent="0.25">
      <c r="B105" s="20" t="s">
        <v>61</v>
      </c>
      <c r="C105" s="21"/>
      <c r="D105" s="21"/>
      <c r="E105" s="21"/>
      <c r="F105" s="21"/>
      <c r="G105" s="4">
        <f>IFERROR(IF(AND($C$105="",$C$106=""),IF(COUNTA($C$104:$F$104,$E$107,$C$109:$F$116)+COUNTA($E$106,$C$107)&gt;0,"⚠ Pick an exercise for this card",""),IF(AND($C$105&lt;&gt;"",$C$106&lt;&gt;""),"⚠ Use the library OR a custom exercise, not both",IF(AND($C$106&lt;&gt;"",$E$106=""),"⚠ Pick a muscle group for the custom exercise",IF(COUNT($E$109:$E$116)=0,"⚠ Enter Goal Reps for at least one set",IF(SUM($Q$109:$Q$116)&gt;0,"⚠ A set is missing Goal Reps",IF(IF($C$107="",1=0,COUNTIF($P$7:$P$214,$C$107)&lt;2),"⚠ Superset "&amp;$C$107&amp;" needs 2+ exercises",IF($C$105&lt;&gt;"",IFERROR("✓ "&amp;INDEX('Exercise Library'!$C$2:$C$319,MATCH($C$105,'Exercise Library'!$B$2:$B$319,0))&amp;IF(INDEX('Exercise Library'!$D$2:$D$319,MATCH($C$105,'Exercise Library'!$B$2:$B$319,0))="Yes"," · demo video","")&amp;" · "&amp;COUNT($E$109:$E$116)&amp;" sets","⚠ Not in the library — use Custom"),"✓ Custom ("&amp;$E$106&amp;") · "&amp;COUNT($E$109:$E$116)&amp;" sets"))))))),"⚠ Check this row")</f>
      </c>
      <c r="P105">
        <f>IF(OR($C$105&lt;&gt;"",$C$106&lt;&gt;""),$C$107,"")</f>
      </c>
    </row>
    <row r="106" spans="2:6" x14ac:dyDescent="0.25">
      <c r="B106" s="18" t="s">
        <v>46</v>
      </c>
      <c r="C106" s="5"/>
      <c r="D106" s="5"/>
      <c r="E106" s="5"/>
      <c r="F106" s="18" t="s">
        <v>47</v>
      </c>
    </row>
    <row r="107" ht="22" customHeight="1" spans="2:6" x14ac:dyDescent="0.25">
      <c r="B107" s="18" t="s">
        <v>48</v>
      </c>
      <c r="C107" s="22"/>
      <c r="D107" s="18" t="s">
        <v>49</v>
      </c>
      <c r="E107" s="5"/>
      <c r="F107" s="5"/>
    </row>
    <row r="108" spans="2:6" x14ac:dyDescent="0.25">
      <c r="B108" s="23" t="s">
        <v>50</v>
      </c>
      <c r="C108" s="23" t="s">
        <v>51</v>
      </c>
      <c r="D108" s="23" t="s">
        <v>52</v>
      </c>
      <c r="E108" s="23" t="s">
        <v>53</v>
      </c>
      <c r="F108" s="23" t="s">
        <v>54</v>
      </c>
    </row>
    <row r="109" spans="2:17" x14ac:dyDescent="0.25">
      <c r="B109" s="24">
        <v>1</v>
      </c>
      <c r="C109" s="22"/>
      <c r="D109" s="22"/>
      <c r="E109" s="22"/>
      <c r="F109" s="22"/>
      <c r="Q109">
        <f>IF(AND($E109="",COUNTA($C109:$D109,$F109)&gt;0),1,0)</f>
      </c>
    </row>
    <row r="110" spans="2:17" x14ac:dyDescent="0.25">
      <c r="B110" s="24">
        <v>2</v>
      </c>
      <c r="C110" s="22"/>
      <c r="D110" s="22"/>
      <c r="E110" s="22"/>
      <c r="F110" s="22"/>
      <c r="Q110">
        <f>IF(AND($E110="",COUNTA($C110:$D110,$F110)&gt;0),1,0)</f>
      </c>
    </row>
    <row r="111" spans="2:17" x14ac:dyDescent="0.25">
      <c r="B111" s="24">
        <v>3</v>
      </c>
      <c r="C111" s="22"/>
      <c r="D111" s="22"/>
      <c r="E111" s="22"/>
      <c r="F111" s="22"/>
      <c r="Q111">
        <f>IF(AND($E111="",COUNTA($C111:$D111,$F111)&gt;0),1,0)</f>
      </c>
    </row>
    <row r="112" spans="2:17" x14ac:dyDescent="0.25">
      <c r="B112" s="24">
        <v>4</v>
      </c>
      <c r="C112" s="22"/>
      <c r="D112" s="22"/>
      <c r="E112" s="22"/>
      <c r="F112" s="22"/>
      <c r="Q112">
        <f>IF(AND($E112="",COUNTA($C112:$D112,$F112)&gt;0),1,0)</f>
      </c>
    </row>
    <row r="113" spans="2:17" x14ac:dyDescent="0.25">
      <c r="B113" s="24">
        <v>5</v>
      </c>
      <c r="C113" s="22"/>
      <c r="D113" s="22"/>
      <c r="E113" s="22"/>
      <c r="F113" s="22"/>
      <c r="Q113">
        <f>IF(AND($E113="",COUNTA($C113:$D113,$F113)&gt;0),1,0)</f>
      </c>
    </row>
    <row r="114" spans="2:17" x14ac:dyDescent="0.25">
      <c r="B114" s="24">
        <v>6</v>
      </c>
      <c r="C114" s="22"/>
      <c r="D114" s="22"/>
      <c r="E114" s="22"/>
      <c r="F114" s="22"/>
      <c r="Q114">
        <f>IF(AND($E114="",COUNTA($C114:$D114,$F114)&gt;0),1,0)</f>
      </c>
    </row>
    <row r="115" spans="2:17" x14ac:dyDescent="0.25">
      <c r="B115" s="24">
        <v>7</v>
      </c>
      <c r="C115" s="22"/>
      <c r="D115" s="22"/>
      <c r="E115" s="22"/>
      <c r="F115" s="22"/>
      <c r="Q115">
        <f>IF(AND($E115="",COUNTA($C115:$D115,$F115)&gt;0),1,0)</f>
      </c>
    </row>
    <row r="116" spans="2:17" x14ac:dyDescent="0.25">
      <c r="B116" s="24">
        <v>8</v>
      </c>
      <c r="C116" s="22"/>
      <c r="D116" s="22"/>
      <c r="E116" s="22"/>
      <c r="F116" s="22"/>
      <c r="Q116">
        <f>IF(AND($E116="",COUNTA($C116:$D116,$F116)&gt;0),1,0)</f>
      </c>
    </row>
    <row r="118" spans="2:6" x14ac:dyDescent="0.25">
      <c r="B118" s="18" t="s">
        <v>44</v>
      </c>
      <c r="C118" s="19"/>
      <c r="D118" s="19"/>
      <c r="E118" s="5"/>
      <c r="F118" s="5"/>
    </row>
    <row r="119" ht="24" customHeight="1" spans="2:16" x14ac:dyDescent="0.25">
      <c r="B119" s="20" t="s">
        <v>62</v>
      </c>
      <c r="C119" s="21"/>
      <c r="D119" s="21"/>
      <c r="E119" s="21"/>
      <c r="F119" s="21"/>
      <c r="G119" s="4">
        <f>IFERROR(IF(AND($C$119="",$C$120=""),IF(COUNTA($C$118:$F$118,$E$121,$C$123:$F$130)+COUNTA($E$120,$C$121)&gt;0,"⚠ Pick an exercise for this card",""),IF(AND($C$119&lt;&gt;"",$C$120&lt;&gt;""),"⚠ Use the library OR a custom exercise, not both",IF(AND($C$120&lt;&gt;"",$E$120=""),"⚠ Pick a muscle group for the custom exercise",IF(COUNT($E$123:$E$130)=0,"⚠ Enter Goal Reps for at least one set",IF(SUM($Q$123:$Q$130)&gt;0,"⚠ A set is missing Goal Reps",IF(IF($C$121="",1=0,COUNTIF($P$7:$P$214,$C$121)&lt;2),"⚠ Superset "&amp;$C$121&amp;" needs 2+ exercises",IF($C$119&lt;&gt;"",IFERROR("✓ "&amp;INDEX('Exercise Library'!$C$2:$C$319,MATCH($C$119,'Exercise Library'!$B$2:$B$319,0))&amp;IF(INDEX('Exercise Library'!$D$2:$D$319,MATCH($C$119,'Exercise Library'!$B$2:$B$319,0))="Yes"," · demo video","")&amp;" · "&amp;COUNT($E$123:$E$130)&amp;" sets","⚠ Not in the library — use Custom"),"✓ Custom ("&amp;$E$120&amp;") · "&amp;COUNT($E$123:$E$130)&amp;" sets"))))))),"⚠ Check this row")</f>
      </c>
      <c r="P119">
        <f>IF(OR($C$119&lt;&gt;"",$C$120&lt;&gt;""),$C$121,"")</f>
      </c>
    </row>
    <row r="120" spans="2:6" x14ac:dyDescent="0.25">
      <c r="B120" s="18" t="s">
        <v>46</v>
      </c>
      <c r="C120" s="5"/>
      <c r="D120" s="5"/>
      <c r="E120" s="5"/>
      <c r="F120" s="18" t="s">
        <v>47</v>
      </c>
    </row>
    <row r="121" ht="22" customHeight="1" spans="2:6" x14ac:dyDescent="0.25">
      <c r="B121" s="18" t="s">
        <v>48</v>
      </c>
      <c r="C121" s="22"/>
      <c r="D121" s="18" t="s">
        <v>49</v>
      </c>
      <c r="E121" s="5"/>
      <c r="F121" s="5"/>
    </row>
    <row r="122" spans="2:6" x14ac:dyDescent="0.25">
      <c r="B122" s="23" t="s">
        <v>50</v>
      </c>
      <c r="C122" s="23" t="s">
        <v>51</v>
      </c>
      <c r="D122" s="23" t="s">
        <v>52</v>
      </c>
      <c r="E122" s="23" t="s">
        <v>53</v>
      </c>
      <c r="F122" s="23" t="s">
        <v>54</v>
      </c>
    </row>
    <row r="123" spans="2:17" x14ac:dyDescent="0.25">
      <c r="B123" s="24">
        <v>1</v>
      </c>
      <c r="C123" s="22"/>
      <c r="D123" s="22"/>
      <c r="E123" s="22"/>
      <c r="F123" s="22"/>
      <c r="Q123">
        <f>IF(AND($E123="",COUNTA($C123:$D123,$F123)&gt;0),1,0)</f>
      </c>
    </row>
    <row r="124" spans="2:17" x14ac:dyDescent="0.25">
      <c r="B124" s="24">
        <v>2</v>
      </c>
      <c r="C124" s="22"/>
      <c r="D124" s="22"/>
      <c r="E124" s="22"/>
      <c r="F124" s="22"/>
      <c r="Q124">
        <f>IF(AND($E124="",COUNTA($C124:$D124,$F124)&gt;0),1,0)</f>
      </c>
    </row>
    <row r="125" spans="2:17" x14ac:dyDescent="0.25">
      <c r="B125" s="24">
        <v>3</v>
      </c>
      <c r="C125" s="22"/>
      <c r="D125" s="22"/>
      <c r="E125" s="22"/>
      <c r="F125" s="22"/>
      <c r="Q125">
        <f>IF(AND($E125="",COUNTA($C125:$D125,$F125)&gt;0),1,0)</f>
      </c>
    </row>
    <row r="126" spans="2:17" x14ac:dyDescent="0.25">
      <c r="B126" s="24">
        <v>4</v>
      </c>
      <c r="C126" s="22"/>
      <c r="D126" s="22"/>
      <c r="E126" s="22"/>
      <c r="F126" s="22"/>
      <c r="Q126">
        <f>IF(AND($E126="",COUNTA($C126:$D126,$F126)&gt;0),1,0)</f>
      </c>
    </row>
    <row r="127" spans="2:17" x14ac:dyDescent="0.25">
      <c r="B127" s="24">
        <v>5</v>
      </c>
      <c r="C127" s="22"/>
      <c r="D127" s="22"/>
      <c r="E127" s="22"/>
      <c r="F127" s="22"/>
      <c r="Q127">
        <f>IF(AND($E127="",COUNTA($C127:$D127,$F127)&gt;0),1,0)</f>
      </c>
    </row>
    <row r="128" spans="2:17" x14ac:dyDescent="0.25">
      <c r="B128" s="24">
        <v>6</v>
      </c>
      <c r="C128" s="22"/>
      <c r="D128" s="22"/>
      <c r="E128" s="22"/>
      <c r="F128" s="22"/>
      <c r="Q128">
        <f>IF(AND($E128="",COUNTA($C128:$D128,$F128)&gt;0),1,0)</f>
      </c>
    </row>
    <row r="129" spans="2:17" x14ac:dyDescent="0.25">
      <c r="B129" s="24">
        <v>7</v>
      </c>
      <c r="C129" s="22"/>
      <c r="D129" s="22"/>
      <c r="E129" s="22"/>
      <c r="F129" s="22"/>
      <c r="Q129">
        <f>IF(AND($E129="",COUNTA($C129:$D129,$F129)&gt;0),1,0)</f>
      </c>
    </row>
    <row r="130" spans="2:17" x14ac:dyDescent="0.25">
      <c r="B130" s="24">
        <v>8</v>
      </c>
      <c r="C130" s="22"/>
      <c r="D130" s="22"/>
      <c r="E130" s="22"/>
      <c r="F130" s="22"/>
      <c r="Q130">
        <f>IF(AND($E130="",COUNTA($C130:$D130,$F130)&gt;0),1,0)</f>
      </c>
    </row>
    <row r="132" spans="2:6" x14ac:dyDescent="0.25">
      <c r="B132" s="18" t="s">
        <v>44</v>
      </c>
      <c r="C132" s="19"/>
      <c r="D132" s="19"/>
      <c r="E132" s="5"/>
      <c r="F132" s="5"/>
    </row>
    <row r="133" ht="24" customHeight="1" spans="2:16" x14ac:dyDescent="0.25">
      <c r="B133" s="20" t="s">
        <v>63</v>
      </c>
      <c r="C133" s="21"/>
      <c r="D133" s="21"/>
      <c r="E133" s="21"/>
      <c r="F133" s="21"/>
      <c r="G133" s="4">
        <f>IFERROR(IF(AND($C$133="",$C$134=""),IF(COUNTA($C$132:$F$132,$E$135,$C$137:$F$144)+COUNTA($E$134,$C$135)&gt;0,"⚠ Pick an exercise for this card",""),IF(AND($C$133&lt;&gt;"",$C$134&lt;&gt;""),"⚠ Use the library OR a custom exercise, not both",IF(AND($C$134&lt;&gt;"",$E$134=""),"⚠ Pick a muscle group for the custom exercise",IF(COUNT($E$137:$E$144)=0,"⚠ Enter Goal Reps for at least one set",IF(SUM($Q$137:$Q$144)&gt;0,"⚠ A set is missing Goal Reps",IF(IF($C$135="",1=0,COUNTIF($P$7:$P$214,$C$135)&lt;2),"⚠ Superset "&amp;$C$135&amp;" needs 2+ exercises",IF($C$133&lt;&gt;"",IFERROR("✓ "&amp;INDEX('Exercise Library'!$C$2:$C$319,MATCH($C$133,'Exercise Library'!$B$2:$B$319,0))&amp;IF(INDEX('Exercise Library'!$D$2:$D$319,MATCH($C$133,'Exercise Library'!$B$2:$B$319,0))="Yes"," · demo video","")&amp;" · "&amp;COUNT($E$137:$E$144)&amp;" sets","⚠ Not in the library — use Custom"),"✓ Custom ("&amp;$E$134&amp;") · "&amp;COUNT($E$137:$E$144)&amp;" sets"))))))),"⚠ Check this row")</f>
      </c>
      <c r="P133">
        <f>IF(OR($C$133&lt;&gt;"",$C$134&lt;&gt;""),$C$135,"")</f>
      </c>
    </row>
    <row r="134" spans="2:6" x14ac:dyDescent="0.25">
      <c r="B134" s="18" t="s">
        <v>46</v>
      </c>
      <c r="C134" s="5"/>
      <c r="D134" s="5"/>
      <c r="E134" s="5"/>
      <c r="F134" s="18" t="s">
        <v>47</v>
      </c>
    </row>
    <row r="135" ht="22" customHeight="1" spans="2:6" x14ac:dyDescent="0.25">
      <c r="B135" s="18" t="s">
        <v>48</v>
      </c>
      <c r="C135" s="22"/>
      <c r="D135" s="18" t="s">
        <v>49</v>
      </c>
      <c r="E135" s="5"/>
      <c r="F135" s="5"/>
    </row>
    <row r="136" spans="2:6" x14ac:dyDescent="0.25">
      <c r="B136" s="23" t="s">
        <v>50</v>
      </c>
      <c r="C136" s="23" t="s">
        <v>51</v>
      </c>
      <c r="D136" s="23" t="s">
        <v>52</v>
      </c>
      <c r="E136" s="23" t="s">
        <v>53</v>
      </c>
      <c r="F136" s="23" t="s">
        <v>54</v>
      </c>
    </row>
    <row r="137" spans="2:17" x14ac:dyDescent="0.25">
      <c r="B137" s="24">
        <v>1</v>
      </c>
      <c r="C137" s="22"/>
      <c r="D137" s="22"/>
      <c r="E137" s="22"/>
      <c r="F137" s="22"/>
      <c r="Q137">
        <f>IF(AND($E137="",COUNTA($C137:$D137,$F137)&gt;0),1,0)</f>
      </c>
    </row>
    <row r="138" spans="2:17" x14ac:dyDescent="0.25">
      <c r="B138" s="24">
        <v>2</v>
      </c>
      <c r="C138" s="22"/>
      <c r="D138" s="22"/>
      <c r="E138" s="22"/>
      <c r="F138" s="22"/>
      <c r="Q138">
        <f>IF(AND($E138="",COUNTA($C138:$D138,$F138)&gt;0),1,0)</f>
      </c>
    </row>
    <row r="139" spans="2:17" x14ac:dyDescent="0.25">
      <c r="B139" s="24">
        <v>3</v>
      </c>
      <c r="C139" s="22"/>
      <c r="D139" s="22"/>
      <c r="E139" s="22"/>
      <c r="F139" s="22"/>
      <c r="Q139">
        <f>IF(AND($E139="",COUNTA($C139:$D139,$F139)&gt;0),1,0)</f>
      </c>
    </row>
    <row r="140" spans="2:17" x14ac:dyDescent="0.25">
      <c r="B140" s="24">
        <v>4</v>
      </c>
      <c r="C140" s="22"/>
      <c r="D140" s="22"/>
      <c r="E140" s="22"/>
      <c r="F140" s="22"/>
      <c r="Q140">
        <f>IF(AND($E140="",COUNTA($C140:$D140,$F140)&gt;0),1,0)</f>
      </c>
    </row>
    <row r="141" spans="2:17" x14ac:dyDescent="0.25">
      <c r="B141" s="24">
        <v>5</v>
      </c>
      <c r="C141" s="22"/>
      <c r="D141" s="22"/>
      <c r="E141" s="22"/>
      <c r="F141" s="22"/>
      <c r="Q141">
        <f>IF(AND($E141="",COUNTA($C141:$D141,$F141)&gt;0),1,0)</f>
      </c>
    </row>
    <row r="142" spans="2:17" x14ac:dyDescent="0.25">
      <c r="B142" s="24">
        <v>6</v>
      </c>
      <c r="C142" s="22"/>
      <c r="D142" s="22"/>
      <c r="E142" s="22"/>
      <c r="F142" s="22"/>
      <c r="Q142">
        <f>IF(AND($E142="",COUNTA($C142:$D142,$F142)&gt;0),1,0)</f>
      </c>
    </row>
    <row r="143" spans="2:17" x14ac:dyDescent="0.25">
      <c r="B143" s="24">
        <v>7</v>
      </c>
      <c r="C143" s="22"/>
      <c r="D143" s="22"/>
      <c r="E143" s="22"/>
      <c r="F143" s="22"/>
      <c r="Q143">
        <f>IF(AND($E143="",COUNTA($C143:$D143,$F143)&gt;0),1,0)</f>
      </c>
    </row>
    <row r="144" spans="2:17" x14ac:dyDescent="0.25">
      <c r="B144" s="24">
        <v>8</v>
      </c>
      <c r="C144" s="22"/>
      <c r="D144" s="22"/>
      <c r="E144" s="22"/>
      <c r="F144" s="22"/>
      <c r="Q144">
        <f>IF(AND($E144="",COUNTA($C144:$D144,$F144)&gt;0),1,0)</f>
      </c>
    </row>
    <row r="146" spans="2:6" x14ac:dyDescent="0.25">
      <c r="B146" s="18" t="s">
        <v>44</v>
      </c>
      <c r="C146" s="19"/>
      <c r="D146" s="19"/>
      <c r="E146" s="5"/>
      <c r="F146" s="5"/>
    </row>
    <row r="147" ht="24" customHeight="1" spans="2:16" x14ac:dyDescent="0.25">
      <c r="B147" s="20" t="s">
        <v>64</v>
      </c>
      <c r="C147" s="21"/>
      <c r="D147" s="21"/>
      <c r="E147" s="21"/>
      <c r="F147" s="21"/>
      <c r="G147" s="4">
        <f>IFERROR(IF(AND($C$147="",$C$148=""),IF(COUNTA($C$146:$F$146,$E$149,$C$151:$F$158)+COUNTA($E$148,$C$149)&gt;0,"⚠ Pick an exercise for this card",""),IF(AND($C$147&lt;&gt;"",$C$148&lt;&gt;""),"⚠ Use the library OR a custom exercise, not both",IF(AND($C$148&lt;&gt;"",$E$148=""),"⚠ Pick a muscle group for the custom exercise",IF(COUNT($E$151:$E$158)=0,"⚠ Enter Goal Reps for at least one set",IF(SUM($Q$151:$Q$158)&gt;0,"⚠ A set is missing Goal Reps",IF(IF($C$149="",1=0,COUNTIF($P$7:$P$214,$C$149)&lt;2),"⚠ Superset "&amp;$C$149&amp;" needs 2+ exercises",IF($C$147&lt;&gt;"",IFERROR("✓ "&amp;INDEX('Exercise Library'!$C$2:$C$319,MATCH($C$147,'Exercise Library'!$B$2:$B$319,0))&amp;IF(INDEX('Exercise Library'!$D$2:$D$319,MATCH($C$147,'Exercise Library'!$B$2:$B$319,0))="Yes"," · demo video","")&amp;" · "&amp;COUNT($E$151:$E$158)&amp;" sets","⚠ Not in the library — use Custom"),"✓ Custom ("&amp;$E$148&amp;") · "&amp;COUNT($E$151:$E$158)&amp;" sets"))))))),"⚠ Check this row")</f>
      </c>
      <c r="P147">
        <f>IF(OR($C$147&lt;&gt;"",$C$148&lt;&gt;""),$C$149,"")</f>
      </c>
    </row>
    <row r="148" spans="2:6" x14ac:dyDescent="0.25">
      <c r="B148" s="18" t="s">
        <v>46</v>
      </c>
      <c r="C148" s="5"/>
      <c r="D148" s="5"/>
      <c r="E148" s="5"/>
      <c r="F148" s="18" t="s">
        <v>47</v>
      </c>
    </row>
    <row r="149" ht="22" customHeight="1" spans="2:6" x14ac:dyDescent="0.25">
      <c r="B149" s="18" t="s">
        <v>48</v>
      </c>
      <c r="C149" s="22"/>
      <c r="D149" s="18" t="s">
        <v>49</v>
      </c>
      <c r="E149" s="5"/>
      <c r="F149" s="5"/>
    </row>
    <row r="150" spans="2:6" x14ac:dyDescent="0.25">
      <c r="B150" s="23" t="s">
        <v>50</v>
      </c>
      <c r="C150" s="23" t="s">
        <v>51</v>
      </c>
      <c r="D150" s="23" t="s">
        <v>52</v>
      </c>
      <c r="E150" s="23" t="s">
        <v>53</v>
      </c>
      <c r="F150" s="23" t="s">
        <v>54</v>
      </c>
    </row>
    <row r="151" spans="2:17" x14ac:dyDescent="0.25">
      <c r="B151" s="24">
        <v>1</v>
      </c>
      <c r="C151" s="22"/>
      <c r="D151" s="22"/>
      <c r="E151" s="22"/>
      <c r="F151" s="22"/>
      <c r="Q151">
        <f>IF(AND($E151="",COUNTA($C151:$D151,$F151)&gt;0),1,0)</f>
      </c>
    </row>
    <row r="152" spans="2:17" x14ac:dyDescent="0.25">
      <c r="B152" s="24">
        <v>2</v>
      </c>
      <c r="C152" s="22"/>
      <c r="D152" s="22"/>
      <c r="E152" s="22"/>
      <c r="F152" s="22"/>
      <c r="Q152">
        <f>IF(AND($E152="",COUNTA($C152:$D152,$F152)&gt;0),1,0)</f>
      </c>
    </row>
    <row r="153" spans="2:17" x14ac:dyDescent="0.25">
      <c r="B153" s="24">
        <v>3</v>
      </c>
      <c r="C153" s="22"/>
      <c r="D153" s="22"/>
      <c r="E153" s="22"/>
      <c r="F153" s="22"/>
      <c r="Q153">
        <f>IF(AND($E153="",COUNTA($C153:$D153,$F153)&gt;0),1,0)</f>
      </c>
    </row>
    <row r="154" spans="2:17" x14ac:dyDescent="0.25">
      <c r="B154" s="24">
        <v>4</v>
      </c>
      <c r="C154" s="22"/>
      <c r="D154" s="22"/>
      <c r="E154" s="22"/>
      <c r="F154" s="22"/>
      <c r="Q154">
        <f>IF(AND($E154="",COUNTA($C154:$D154,$F154)&gt;0),1,0)</f>
      </c>
    </row>
    <row r="155" spans="2:17" x14ac:dyDescent="0.25">
      <c r="B155" s="24">
        <v>5</v>
      </c>
      <c r="C155" s="22"/>
      <c r="D155" s="22"/>
      <c r="E155" s="22"/>
      <c r="F155" s="22"/>
      <c r="Q155">
        <f>IF(AND($E155="",COUNTA($C155:$D155,$F155)&gt;0),1,0)</f>
      </c>
    </row>
    <row r="156" spans="2:17" x14ac:dyDescent="0.25">
      <c r="B156" s="24">
        <v>6</v>
      </c>
      <c r="C156" s="22"/>
      <c r="D156" s="22"/>
      <c r="E156" s="22"/>
      <c r="F156" s="22"/>
      <c r="Q156">
        <f>IF(AND($E156="",COUNTA($C156:$D156,$F156)&gt;0),1,0)</f>
      </c>
    </row>
    <row r="157" spans="2:17" x14ac:dyDescent="0.25">
      <c r="B157" s="24">
        <v>7</v>
      </c>
      <c r="C157" s="22"/>
      <c r="D157" s="22"/>
      <c r="E157" s="22"/>
      <c r="F157" s="22"/>
      <c r="Q157">
        <f>IF(AND($E157="",COUNTA($C157:$D157,$F157)&gt;0),1,0)</f>
      </c>
    </row>
    <row r="158" spans="2:17" x14ac:dyDescent="0.25">
      <c r="B158" s="24">
        <v>8</v>
      </c>
      <c r="C158" s="22"/>
      <c r="D158" s="22"/>
      <c r="E158" s="22"/>
      <c r="F158" s="22"/>
      <c r="Q158">
        <f>IF(AND($E158="",COUNTA($C158:$D158,$F158)&gt;0),1,0)</f>
      </c>
    </row>
    <row r="160" spans="2:6" x14ac:dyDescent="0.25">
      <c r="B160" s="18" t="s">
        <v>44</v>
      </c>
      <c r="C160" s="19"/>
      <c r="D160" s="19"/>
      <c r="E160" s="5"/>
      <c r="F160" s="5"/>
    </row>
    <row r="161" ht="24" customHeight="1" spans="2:16" x14ac:dyDescent="0.25">
      <c r="B161" s="20" t="s">
        <v>65</v>
      </c>
      <c r="C161" s="21"/>
      <c r="D161" s="21"/>
      <c r="E161" s="21"/>
      <c r="F161" s="21"/>
      <c r="G161" s="4">
        <f>IFERROR(IF(AND($C$161="",$C$162=""),IF(COUNTA($C$160:$F$160,$E$163,$C$165:$F$172)+COUNTA($E$162,$C$163)&gt;0,"⚠ Pick an exercise for this card",""),IF(AND($C$161&lt;&gt;"",$C$162&lt;&gt;""),"⚠ Use the library OR a custom exercise, not both",IF(AND($C$162&lt;&gt;"",$E$162=""),"⚠ Pick a muscle group for the custom exercise",IF(COUNT($E$165:$E$172)=0,"⚠ Enter Goal Reps for at least one set",IF(SUM($Q$165:$Q$172)&gt;0,"⚠ A set is missing Goal Reps",IF(IF($C$163="",1=0,COUNTIF($P$7:$P$214,$C$163)&lt;2),"⚠ Superset "&amp;$C$163&amp;" needs 2+ exercises",IF($C$161&lt;&gt;"",IFERROR("✓ "&amp;INDEX('Exercise Library'!$C$2:$C$319,MATCH($C$161,'Exercise Library'!$B$2:$B$319,0))&amp;IF(INDEX('Exercise Library'!$D$2:$D$319,MATCH($C$161,'Exercise Library'!$B$2:$B$319,0))="Yes"," · demo video","")&amp;" · "&amp;COUNT($E$165:$E$172)&amp;" sets","⚠ Not in the library — use Custom"),"✓ Custom ("&amp;$E$162&amp;") · "&amp;COUNT($E$165:$E$172)&amp;" sets"))))))),"⚠ Check this row")</f>
      </c>
      <c r="P161">
        <f>IF(OR($C$161&lt;&gt;"",$C$162&lt;&gt;""),$C$163,"")</f>
      </c>
    </row>
    <row r="162" spans="2:6" x14ac:dyDescent="0.25">
      <c r="B162" s="18" t="s">
        <v>46</v>
      </c>
      <c r="C162" s="5"/>
      <c r="D162" s="5"/>
      <c r="E162" s="5"/>
      <c r="F162" s="18" t="s">
        <v>47</v>
      </c>
    </row>
    <row r="163" ht="22" customHeight="1" spans="2:6" x14ac:dyDescent="0.25">
      <c r="B163" s="18" t="s">
        <v>48</v>
      </c>
      <c r="C163" s="22"/>
      <c r="D163" s="18" t="s">
        <v>49</v>
      </c>
      <c r="E163" s="5"/>
      <c r="F163" s="5"/>
    </row>
    <row r="164" spans="2:6" x14ac:dyDescent="0.25">
      <c r="B164" s="23" t="s">
        <v>50</v>
      </c>
      <c r="C164" s="23" t="s">
        <v>51</v>
      </c>
      <c r="D164" s="23" t="s">
        <v>52</v>
      </c>
      <c r="E164" s="23" t="s">
        <v>53</v>
      </c>
      <c r="F164" s="23" t="s">
        <v>54</v>
      </c>
    </row>
    <row r="165" spans="2:17" x14ac:dyDescent="0.25">
      <c r="B165" s="24">
        <v>1</v>
      </c>
      <c r="C165" s="22"/>
      <c r="D165" s="22"/>
      <c r="E165" s="22"/>
      <c r="F165" s="22"/>
      <c r="Q165">
        <f>IF(AND($E165="",COUNTA($C165:$D165,$F165)&gt;0),1,0)</f>
      </c>
    </row>
    <row r="166" spans="2:17" x14ac:dyDescent="0.25">
      <c r="B166" s="24">
        <v>2</v>
      </c>
      <c r="C166" s="22"/>
      <c r="D166" s="22"/>
      <c r="E166" s="22"/>
      <c r="F166" s="22"/>
      <c r="Q166">
        <f>IF(AND($E166="",COUNTA($C166:$D166,$F166)&gt;0),1,0)</f>
      </c>
    </row>
    <row r="167" spans="2:17" x14ac:dyDescent="0.25">
      <c r="B167" s="24">
        <v>3</v>
      </c>
      <c r="C167" s="22"/>
      <c r="D167" s="22"/>
      <c r="E167" s="22"/>
      <c r="F167" s="22"/>
      <c r="Q167">
        <f>IF(AND($E167="",COUNTA($C167:$D167,$F167)&gt;0),1,0)</f>
      </c>
    </row>
    <row r="168" spans="2:17" x14ac:dyDescent="0.25">
      <c r="B168" s="24">
        <v>4</v>
      </c>
      <c r="C168" s="22"/>
      <c r="D168" s="22"/>
      <c r="E168" s="22"/>
      <c r="F168" s="22"/>
      <c r="Q168">
        <f>IF(AND($E168="",COUNTA($C168:$D168,$F168)&gt;0),1,0)</f>
      </c>
    </row>
    <row r="169" spans="2:17" x14ac:dyDescent="0.25">
      <c r="B169" s="24">
        <v>5</v>
      </c>
      <c r="C169" s="22"/>
      <c r="D169" s="22"/>
      <c r="E169" s="22"/>
      <c r="F169" s="22"/>
      <c r="Q169">
        <f>IF(AND($E169="",COUNTA($C169:$D169,$F169)&gt;0),1,0)</f>
      </c>
    </row>
    <row r="170" spans="2:17" x14ac:dyDescent="0.25">
      <c r="B170" s="24">
        <v>6</v>
      </c>
      <c r="C170" s="22"/>
      <c r="D170" s="22"/>
      <c r="E170" s="22"/>
      <c r="F170" s="22"/>
      <c r="Q170">
        <f>IF(AND($E170="",COUNTA($C170:$D170,$F170)&gt;0),1,0)</f>
      </c>
    </row>
    <row r="171" spans="2:17" x14ac:dyDescent="0.25">
      <c r="B171" s="24">
        <v>7</v>
      </c>
      <c r="C171" s="22"/>
      <c r="D171" s="22"/>
      <c r="E171" s="22"/>
      <c r="F171" s="22"/>
      <c r="Q171">
        <f>IF(AND($E171="",COUNTA($C171:$D171,$F171)&gt;0),1,0)</f>
      </c>
    </row>
    <row r="172" spans="2:17" x14ac:dyDescent="0.25">
      <c r="B172" s="24">
        <v>8</v>
      </c>
      <c r="C172" s="22"/>
      <c r="D172" s="22"/>
      <c r="E172" s="22"/>
      <c r="F172" s="22"/>
      <c r="Q172">
        <f>IF(AND($E172="",COUNTA($C172:$D172,$F172)&gt;0),1,0)</f>
      </c>
    </row>
    <row r="174" spans="2:6" x14ac:dyDescent="0.25">
      <c r="B174" s="18" t="s">
        <v>44</v>
      </c>
      <c r="C174" s="19"/>
      <c r="D174" s="19"/>
      <c r="E174" s="5"/>
      <c r="F174" s="5"/>
    </row>
    <row r="175" ht="24" customHeight="1" spans="2:16" x14ac:dyDescent="0.25">
      <c r="B175" s="20" t="s">
        <v>66</v>
      </c>
      <c r="C175" s="21"/>
      <c r="D175" s="21"/>
      <c r="E175" s="21"/>
      <c r="F175" s="21"/>
      <c r="G175" s="4">
        <f>IFERROR(IF(AND($C$175="",$C$176=""),IF(COUNTA($C$174:$F$174,$E$177,$C$179:$F$186)+COUNTA($E$176,$C$177)&gt;0,"⚠ Pick an exercise for this card",""),IF(AND($C$175&lt;&gt;"",$C$176&lt;&gt;""),"⚠ Use the library OR a custom exercise, not both",IF(AND($C$176&lt;&gt;"",$E$176=""),"⚠ Pick a muscle group for the custom exercise",IF(COUNT($E$179:$E$186)=0,"⚠ Enter Goal Reps for at least one set",IF(SUM($Q$179:$Q$186)&gt;0,"⚠ A set is missing Goal Reps",IF(IF($C$177="",1=0,COUNTIF($P$7:$P$214,$C$177)&lt;2),"⚠ Superset "&amp;$C$177&amp;" needs 2+ exercises",IF($C$175&lt;&gt;"",IFERROR("✓ "&amp;INDEX('Exercise Library'!$C$2:$C$319,MATCH($C$175,'Exercise Library'!$B$2:$B$319,0))&amp;IF(INDEX('Exercise Library'!$D$2:$D$319,MATCH($C$175,'Exercise Library'!$B$2:$B$319,0))="Yes"," · demo video","")&amp;" · "&amp;COUNT($E$179:$E$186)&amp;" sets","⚠ Not in the library — use Custom"),"✓ Custom ("&amp;$E$176&amp;") · "&amp;COUNT($E$179:$E$186)&amp;" sets"))))))),"⚠ Check this row")</f>
      </c>
      <c r="P175">
        <f>IF(OR($C$175&lt;&gt;"",$C$176&lt;&gt;""),$C$177,"")</f>
      </c>
    </row>
    <row r="176" spans="2:6" x14ac:dyDescent="0.25">
      <c r="B176" s="18" t="s">
        <v>46</v>
      </c>
      <c r="C176" s="5"/>
      <c r="D176" s="5"/>
      <c r="E176" s="5"/>
      <c r="F176" s="18" t="s">
        <v>47</v>
      </c>
    </row>
    <row r="177" ht="22" customHeight="1" spans="2:6" x14ac:dyDescent="0.25">
      <c r="B177" s="18" t="s">
        <v>48</v>
      </c>
      <c r="C177" s="22"/>
      <c r="D177" s="18" t="s">
        <v>49</v>
      </c>
      <c r="E177" s="5"/>
      <c r="F177" s="5"/>
    </row>
    <row r="178" spans="2:6" x14ac:dyDescent="0.25">
      <c r="B178" s="23" t="s">
        <v>50</v>
      </c>
      <c r="C178" s="23" t="s">
        <v>51</v>
      </c>
      <c r="D178" s="23" t="s">
        <v>52</v>
      </c>
      <c r="E178" s="23" t="s">
        <v>53</v>
      </c>
      <c r="F178" s="23" t="s">
        <v>54</v>
      </c>
    </row>
    <row r="179" spans="2:17" x14ac:dyDescent="0.25">
      <c r="B179" s="24">
        <v>1</v>
      </c>
      <c r="C179" s="22"/>
      <c r="D179" s="22"/>
      <c r="E179" s="22"/>
      <c r="F179" s="22"/>
      <c r="Q179">
        <f>IF(AND($E179="",COUNTA($C179:$D179,$F179)&gt;0),1,0)</f>
      </c>
    </row>
    <row r="180" spans="2:17" x14ac:dyDescent="0.25">
      <c r="B180" s="24">
        <v>2</v>
      </c>
      <c r="C180" s="22"/>
      <c r="D180" s="22"/>
      <c r="E180" s="22"/>
      <c r="F180" s="22"/>
      <c r="Q180">
        <f>IF(AND($E180="",COUNTA($C180:$D180,$F180)&gt;0),1,0)</f>
      </c>
    </row>
    <row r="181" spans="2:17" x14ac:dyDescent="0.25">
      <c r="B181" s="24">
        <v>3</v>
      </c>
      <c r="C181" s="22"/>
      <c r="D181" s="22"/>
      <c r="E181" s="22"/>
      <c r="F181" s="22"/>
      <c r="Q181">
        <f>IF(AND($E181="",COUNTA($C181:$D181,$F181)&gt;0),1,0)</f>
      </c>
    </row>
    <row r="182" spans="2:17" x14ac:dyDescent="0.25">
      <c r="B182" s="24">
        <v>4</v>
      </c>
      <c r="C182" s="22"/>
      <c r="D182" s="22"/>
      <c r="E182" s="22"/>
      <c r="F182" s="22"/>
      <c r="Q182">
        <f>IF(AND($E182="",COUNTA($C182:$D182,$F182)&gt;0),1,0)</f>
      </c>
    </row>
    <row r="183" spans="2:17" x14ac:dyDescent="0.25">
      <c r="B183" s="24">
        <v>5</v>
      </c>
      <c r="C183" s="22"/>
      <c r="D183" s="22"/>
      <c r="E183" s="22"/>
      <c r="F183" s="22"/>
      <c r="Q183">
        <f>IF(AND($E183="",COUNTA($C183:$D183,$F183)&gt;0),1,0)</f>
      </c>
    </row>
    <row r="184" spans="2:17" x14ac:dyDescent="0.25">
      <c r="B184" s="24">
        <v>6</v>
      </c>
      <c r="C184" s="22"/>
      <c r="D184" s="22"/>
      <c r="E184" s="22"/>
      <c r="F184" s="22"/>
      <c r="Q184">
        <f>IF(AND($E184="",COUNTA($C184:$D184,$F184)&gt;0),1,0)</f>
      </c>
    </row>
    <row r="185" spans="2:17" x14ac:dyDescent="0.25">
      <c r="B185" s="24">
        <v>7</v>
      </c>
      <c r="C185" s="22"/>
      <c r="D185" s="22"/>
      <c r="E185" s="22"/>
      <c r="F185" s="22"/>
      <c r="Q185">
        <f>IF(AND($E185="",COUNTA($C185:$D185,$F185)&gt;0),1,0)</f>
      </c>
    </row>
    <row r="186" spans="2:17" x14ac:dyDescent="0.25">
      <c r="B186" s="24">
        <v>8</v>
      </c>
      <c r="C186" s="22"/>
      <c r="D186" s="22"/>
      <c r="E186" s="22"/>
      <c r="F186" s="22"/>
      <c r="Q186">
        <f>IF(AND($E186="",COUNTA($C186:$D186,$F186)&gt;0),1,0)</f>
      </c>
    </row>
    <row r="188" spans="2:6" x14ac:dyDescent="0.25">
      <c r="B188" s="18" t="s">
        <v>44</v>
      </c>
      <c r="C188" s="19"/>
      <c r="D188" s="19"/>
      <c r="E188" s="5"/>
      <c r="F188" s="5"/>
    </row>
    <row r="189" ht="24" customHeight="1" spans="2:16" x14ac:dyDescent="0.25">
      <c r="B189" s="20" t="s">
        <v>67</v>
      </c>
      <c r="C189" s="21"/>
      <c r="D189" s="21"/>
      <c r="E189" s="21"/>
      <c r="F189" s="21"/>
      <c r="G189" s="4">
        <f>IFERROR(IF(AND($C$189="",$C$190=""),IF(COUNTA($C$188:$F$188,$E$191,$C$193:$F$200)+COUNTA($E$190,$C$191)&gt;0,"⚠ Pick an exercise for this card",""),IF(AND($C$189&lt;&gt;"",$C$190&lt;&gt;""),"⚠ Use the library OR a custom exercise, not both",IF(AND($C$190&lt;&gt;"",$E$190=""),"⚠ Pick a muscle group for the custom exercise",IF(COUNT($E$193:$E$200)=0,"⚠ Enter Goal Reps for at least one set",IF(SUM($Q$193:$Q$200)&gt;0,"⚠ A set is missing Goal Reps",IF(IF($C$191="",1=0,COUNTIF($P$7:$P$214,$C$191)&lt;2),"⚠ Superset "&amp;$C$191&amp;" needs 2+ exercises",IF($C$189&lt;&gt;"",IFERROR("✓ "&amp;INDEX('Exercise Library'!$C$2:$C$319,MATCH($C$189,'Exercise Library'!$B$2:$B$319,0))&amp;IF(INDEX('Exercise Library'!$D$2:$D$319,MATCH($C$189,'Exercise Library'!$B$2:$B$319,0))="Yes"," · demo video","")&amp;" · "&amp;COUNT($E$193:$E$200)&amp;" sets","⚠ Not in the library — use Custom"),"✓ Custom ("&amp;$E$190&amp;") · "&amp;COUNT($E$193:$E$200)&amp;" sets"))))))),"⚠ Check this row")</f>
      </c>
      <c r="P189">
        <f>IF(OR($C$189&lt;&gt;"",$C$190&lt;&gt;""),$C$191,"")</f>
      </c>
    </row>
    <row r="190" spans="2:6" x14ac:dyDescent="0.25">
      <c r="B190" s="18" t="s">
        <v>46</v>
      </c>
      <c r="C190" s="5"/>
      <c r="D190" s="5"/>
      <c r="E190" s="5"/>
      <c r="F190" s="18" t="s">
        <v>47</v>
      </c>
    </row>
    <row r="191" ht="22" customHeight="1" spans="2:6" x14ac:dyDescent="0.25">
      <c r="B191" s="18" t="s">
        <v>48</v>
      </c>
      <c r="C191" s="22"/>
      <c r="D191" s="18" t="s">
        <v>49</v>
      </c>
      <c r="E191" s="5"/>
      <c r="F191" s="5"/>
    </row>
    <row r="192" spans="2:6" x14ac:dyDescent="0.25">
      <c r="B192" s="23" t="s">
        <v>50</v>
      </c>
      <c r="C192" s="23" t="s">
        <v>51</v>
      </c>
      <c r="D192" s="23" t="s">
        <v>52</v>
      </c>
      <c r="E192" s="23" t="s">
        <v>53</v>
      </c>
      <c r="F192" s="23" t="s">
        <v>54</v>
      </c>
    </row>
    <row r="193" spans="2:17" x14ac:dyDescent="0.25">
      <c r="B193" s="24">
        <v>1</v>
      </c>
      <c r="C193" s="22"/>
      <c r="D193" s="22"/>
      <c r="E193" s="22"/>
      <c r="F193" s="22"/>
      <c r="Q193">
        <f>IF(AND($E193="",COUNTA($C193:$D193,$F193)&gt;0),1,0)</f>
      </c>
    </row>
    <row r="194" spans="2:17" x14ac:dyDescent="0.25">
      <c r="B194" s="24">
        <v>2</v>
      </c>
      <c r="C194" s="22"/>
      <c r="D194" s="22"/>
      <c r="E194" s="22"/>
      <c r="F194" s="22"/>
      <c r="Q194">
        <f>IF(AND($E194="",COUNTA($C194:$D194,$F194)&gt;0),1,0)</f>
      </c>
    </row>
    <row r="195" spans="2:17" x14ac:dyDescent="0.25">
      <c r="B195" s="24">
        <v>3</v>
      </c>
      <c r="C195" s="22"/>
      <c r="D195" s="22"/>
      <c r="E195" s="22"/>
      <c r="F195" s="22"/>
      <c r="Q195">
        <f>IF(AND($E195="",COUNTA($C195:$D195,$F195)&gt;0),1,0)</f>
      </c>
    </row>
    <row r="196" spans="2:17" x14ac:dyDescent="0.25">
      <c r="B196" s="24">
        <v>4</v>
      </c>
      <c r="C196" s="22"/>
      <c r="D196" s="22"/>
      <c r="E196" s="22"/>
      <c r="F196" s="22"/>
      <c r="Q196">
        <f>IF(AND($E196="",COUNTA($C196:$D196,$F196)&gt;0),1,0)</f>
      </c>
    </row>
    <row r="197" spans="2:17" x14ac:dyDescent="0.25">
      <c r="B197" s="24">
        <v>5</v>
      </c>
      <c r="C197" s="22"/>
      <c r="D197" s="22"/>
      <c r="E197" s="22"/>
      <c r="F197" s="22"/>
      <c r="Q197">
        <f>IF(AND($E197="",COUNTA($C197:$D197,$F197)&gt;0),1,0)</f>
      </c>
    </row>
    <row r="198" spans="2:17" x14ac:dyDescent="0.25">
      <c r="B198" s="24">
        <v>6</v>
      </c>
      <c r="C198" s="22"/>
      <c r="D198" s="22"/>
      <c r="E198" s="22"/>
      <c r="F198" s="22"/>
      <c r="Q198">
        <f>IF(AND($E198="",COUNTA($C198:$D198,$F198)&gt;0),1,0)</f>
      </c>
    </row>
    <row r="199" spans="2:17" x14ac:dyDescent="0.25">
      <c r="B199" s="24">
        <v>7</v>
      </c>
      <c r="C199" s="22"/>
      <c r="D199" s="22"/>
      <c r="E199" s="22"/>
      <c r="F199" s="22"/>
      <c r="Q199">
        <f>IF(AND($E199="",COUNTA($C199:$D199,$F199)&gt;0),1,0)</f>
      </c>
    </row>
    <row r="200" spans="2:17" x14ac:dyDescent="0.25">
      <c r="B200" s="24">
        <v>8</v>
      </c>
      <c r="C200" s="22"/>
      <c r="D200" s="22"/>
      <c r="E200" s="22"/>
      <c r="F200" s="22"/>
      <c r="Q200">
        <f>IF(AND($E200="",COUNTA($C200:$D200,$F200)&gt;0),1,0)</f>
      </c>
    </row>
    <row r="202" spans="2:6" x14ac:dyDescent="0.25">
      <c r="B202" s="18" t="s">
        <v>44</v>
      </c>
      <c r="C202" s="19"/>
      <c r="D202" s="19"/>
      <c r="E202" s="5"/>
      <c r="F202" s="5"/>
    </row>
    <row r="203" ht="24" customHeight="1" spans="2:16" x14ac:dyDescent="0.25">
      <c r="B203" s="20" t="s">
        <v>68</v>
      </c>
      <c r="C203" s="21"/>
      <c r="D203" s="21"/>
      <c r="E203" s="21"/>
      <c r="F203" s="21"/>
      <c r="G203" s="4">
        <f>IFERROR(IF(AND($C$203="",$C$204=""),IF(COUNTA($C$202:$F$202,$E$205,$C$207:$F$214)+COUNTA($E$204,$C$205)&gt;0,"⚠ Pick an exercise for this card",""),IF(AND($C$203&lt;&gt;"",$C$204&lt;&gt;""),"⚠ Use the library OR a custom exercise, not both",IF(AND($C$204&lt;&gt;"",$E$204=""),"⚠ Pick a muscle group for the custom exercise",IF(COUNT($E$207:$E$214)=0,"⚠ Enter Goal Reps for at least one set",IF(SUM($Q$207:$Q$214)&gt;0,"⚠ A set is missing Goal Reps",IF(IF($C$205="",1=0,COUNTIF($P$7:$P$214,$C$205)&lt;2),"⚠ Superset "&amp;$C$205&amp;" needs 2+ exercises",IF($C$203&lt;&gt;"",IFERROR("✓ "&amp;INDEX('Exercise Library'!$C$2:$C$319,MATCH($C$203,'Exercise Library'!$B$2:$B$319,0))&amp;IF(INDEX('Exercise Library'!$D$2:$D$319,MATCH($C$203,'Exercise Library'!$B$2:$B$319,0))="Yes"," · demo video","")&amp;" · "&amp;COUNT($E$207:$E$214)&amp;" sets","⚠ Not in the library — use Custom"),"✓ Custom ("&amp;$E$204&amp;") · "&amp;COUNT($E$207:$E$214)&amp;" sets"))))))),"⚠ Check this row")</f>
      </c>
      <c r="P203">
        <f>IF(OR($C$203&lt;&gt;"",$C$204&lt;&gt;""),$C$205,"")</f>
      </c>
    </row>
    <row r="204" spans="2:6" x14ac:dyDescent="0.25">
      <c r="B204" s="18" t="s">
        <v>46</v>
      </c>
      <c r="C204" s="5"/>
      <c r="D204" s="5"/>
      <c r="E204" s="5"/>
      <c r="F204" s="18" t="s">
        <v>47</v>
      </c>
    </row>
    <row r="205" ht="22" customHeight="1" spans="2:6" x14ac:dyDescent="0.25">
      <c r="B205" s="18" t="s">
        <v>48</v>
      </c>
      <c r="C205" s="22"/>
      <c r="D205" s="18" t="s">
        <v>49</v>
      </c>
      <c r="E205" s="5"/>
      <c r="F205" s="5"/>
    </row>
    <row r="206" spans="2:6" x14ac:dyDescent="0.25">
      <c r="B206" s="23" t="s">
        <v>50</v>
      </c>
      <c r="C206" s="23" t="s">
        <v>51</v>
      </c>
      <c r="D206" s="23" t="s">
        <v>52</v>
      </c>
      <c r="E206" s="23" t="s">
        <v>53</v>
      </c>
      <c r="F206" s="23" t="s">
        <v>54</v>
      </c>
    </row>
    <row r="207" spans="2:17" x14ac:dyDescent="0.25">
      <c r="B207" s="24">
        <v>1</v>
      </c>
      <c r="C207" s="22"/>
      <c r="D207" s="22"/>
      <c r="E207" s="22"/>
      <c r="F207" s="22"/>
      <c r="Q207">
        <f>IF(AND($E207="",COUNTA($C207:$D207,$F207)&gt;0),1,0)</f>
      </c>
    </row>
    <row r="208" spans="2:17" x14ac:dyDescent="0.25">
      <c r="B208" s="24">
        <v>2</v>
      </c>
      <c r="C208" s="22"/>
      <c r="D208" s="22"/>
      <c r="E208" s="22"/>
      <c r="F208" s="22"/>
      <c r="Q208">
        <f>IF(AND($E208="",COUNTA($C208:$D208,$F208)&gt;0),1,0)</f>
      </c>
    </row>
    <row r="209" spans="2:17" x14ac:dyDescent="0.25">
      <c r="B209" s="24">
        <v>3</v>
      </c>
      <c r="C209" s="22"/>
      <c r="D209" s="22"/>
      <c r="E209" s="22"/>
      <c r="F209" s="22"/>
      <c r="Q209">
        <f>IF(AND($E209="",COUNTA($C209:$D209,$F209)&gt;0),1,0)</f>
      </c>
    </row>
    <row r="210" spans="2:17" x14ac:dyDescent="0.25">
      <c r="B210" s="24">
        <v>4</v>
      </c>
      <c r="C210" s="22"/>
      <c r="D210" s="22"/>
      <c r="E210" s="22"/>
      <c r="F210" s="22"/>
      <c r="Q210">
        <f>IF(AND($E210="",COUNTA($C210:$D210,$F210)&gt;0),1,0)</f>
      </c>
    </row>
    <row r="211" spans="2:17" x14ac:dyDescent="0.25">
      <c r="B211" s="24">
        <v>5</v>
      </c>
      <c r="C211" s="22"/>
      <c r="D211" s="22"/>
      <c r="E211" s="22"/>
      <c r="F211" s="22"/>
      <c r="Q211">
        <f>IF(AND($E211="",COUNTA($C211:$D211,$F211)&gt;0),1,0)</f>
      </c>
    </row>
    <row r="212" spans="2:17" x14ac:dyDescent="0.25">
      <c r="B212" s="24">
        <v>6</v>
      </c>
      <c r="C212" s="22"/>
      <c r="D212" s="22"/>
      <c r="E212" s="22"/>
      <c r="F212" s="22"/>
      <c r="Q212">
        <f>IF(AND($E212="",COUNTA($C212:$D212,$F212)&gt;0),1,0)</f>
      </c>
    </row>
    <row r="213" spans="2:17" x14ac:dyDescent="0.25">
      <c r="B213" s="24">
        <v>7</v>
      </c>
      <c r="C213" s="22"/>
      <c r="D213" s="22"/>
      <c r="E213" s="22"/>
      <c r="F213" s="22"/>
      <c r="Q213">
        <f>IF(AND($E213="",COUNTA($C213:$D213,$F213)&gt;0),1,0)</f>
      </c>
    </row>
    <row r="214" spans="2:17" x14ac:dyDescent="0.25">
      <c r="B214" s="24">
        <v>8</v>
      </c>
      <c r="C214" s="22"/>
      <c r="D214" s="22"/>
      <c r="E214" s="22"/>
      <c r="F214" s="22"/>
      <c r="Q214">
        <f>IF(AND($E214="",COUNTA($C214:$D214,$F214)&gt;0),1,0)</f>
      </c>
    </row>
  </sheetData>
  <mergeCells count="78">
    <mergeCell ref="A1:G1"/>
    <mergeCell ref="C3:F3"/>
    <mergeCell ref="C4:F4"/>
    <mergeCell ref="C6:D6"/>
    <mergeCell ref="E6:F6"/>
    <mergeCell ref="C7:F7"/>
    <mergeCell ref="C8:D8"/>
    <mergeCell ref="E9:F9"/>
    <mergeCell ref="C20:D20"/>
    <mergeCell ref="E20:F20"/>
    <mergeCell ref="C21:F21"/>
    <mergeCell ref="C22:D22"/>
    <mergeCell ref="E23:F23"/>
    <mergeCell ref="C34:D34"/>
    <mergeCell ref="E34:F34"/>
    <mergeCell ref="C35:F35"/>
    <mergeCell ref="C36:D36"/>
    <mergeCell ref="E37:F37"/>
    <mergeCell ref="C48:D48"/>
    <mergeCell ref="E48:F48"/>
    <mergeCell ref="C49:F49"/>
    <mergeCell ref="C50:D50"/>
    <mergeCell ref="E51:F51"/>
    <mergeCell ref="C62:D62"/>
    <mergeCell ref="E62:F62"/>
    <mergeCell ref="C63:F63"/>
    <mergeCell ref="C64:D64"/>
    <mergeCell ref="E65:F65"/>
    <mergeCell ref="C76:D76"/>
    <mergeCell ref="E76:F76"/>
    <mergeCell ref="C77:F77"/>
    <mergeCell ref="C78:D78"/>
    <mergeCell ref="E79:F79"/>
    <mergeCell ref="C90:D90"/>
    <mergeCell ref="E90:F90"/>
    <mergeCell ref="C91:F91"/>
    <mergeCell ref="C92:D92"/>
    <mergeCell ref="E93:F93"/>
    <mergeCell ref="C104:D104"/>
    <mergeCell ref="E104:F104"/>
    <mergeCell ref="C105:F105"/>
    <mergeCell ref="C106:D106"/>
    <mergeCell ref="E107:F107"/>
    <mergeCell ref="C118:D118"/>
    <mergeCell ref="E118:F118"/>
    <mergeCell ref="C119:F119"/>
    <mergeCell ref="C120:D120"/>
    <mergeCell ref="E121:F121"/>
    <mergeCell ref="C132:D132"/>
    <mergeCell ref="E132:F132"/>
    <mergeCell ref="C133:F133"/>
    <mergeCell ref="C134:D134"/>
    <mergeCell ref="E135:F135"/>
    <mergeCell ref="C146:D146"/>
    <mergeCell ref="E146:F146"/>
    <mergeCell ref="C147:F147"/>
    <mergeCell ref="C148:D148"/>
    <mergeCell ref="E149:F149"/>
    <mergeCell ref="C160:D160"/>
    <mergeCell ref="E160:F160"/>
    <mergeCell ref="C161:F161"/>
    <mergeCell ref="C162:D162"/>
    <mergeCell ref="E163:F163"/>
    <mergeCell ref="C174:D174"/>
    <mergeCell ref="E174:F174"/>
    <mergeCell ref="C175:F175"/>
    <mergeCell ref="C176:D176"/>
    <mergeCell ref="E177:F177"/>
    <mergeCell ref="C188:D188"/>
    <mergeCell ref="E188:F188"/>
    <mergeCell ref="C189:F189"/>
    <mergeCell ref="C190:D190"/>
    <mergeCell ref="E191:F191"/>
    <mergeCell ref="C202:D202"/>
    <mergeCell ref="E202:F202"/>
    <mergeCell ref="C203:F203"/>
    <mergeCell ref="C204:D204"/>
    <mergeCell ref="E205:F205"/>
  </mergeCells>
  <conditionalFormatting sqref="A1:G1">
    <cfRule type="expression" dxfId="15" priority="1">
      <formula>$O$1="FILL"</formula>
    </cfRule>
    <cfRule type="expression" dxfId="16" priority="2">
      <formula>$O$1="SKIP"</formula>
    </cfRule>
    <cfRule type="expression" dxfId="17" priority="3">
      <formula>$O$1=""</formula>
    </cfRule>
  </conditionalFormatting>
  <conditionalFormatting sqref="G3:G214">
    <cfRule type="expression" dxfId="18" priority="1">
      <formula>LEFT(G3,1)="⚠"</formula>
    </cfRule>
    <cfRule type="expression" dxfId="19" priority="2">
      <formula>LEFT(G3,1)="✓"</formula>
    </cfRule>
  </conditionalFormatting>
  <conditionalFormatting sqref="C3:F214">
    <cfRule type="expression" dxfId="20" priority="1">
      <formula>$O$1="SKIP"</formula>
    </cfRule>
  </conditionalFormatting>
  <dataValidations count="121">
    <dataValidation type="list" allowBlank="1" showInputMessage="1" prompt="Pick from the RepLab exercise library (type to search). Library exercises come with demo videos." showErrorMessage="1" errorStyle="stop" errorTitle="Pick from the list" error="Choose one of the options in the dropdown." sqref="C105">
      <formula1>'Exercise Library'!$B$2:$B$319</formula1>
    </dataValidation>
    <dataValidation type="textLength" operator="lessThanOrEqual" allowBlank="1" showErrorMessage="1" error="200 characters or fewer." sqref="C106">
      <formula1>200</formula1>
    </dataValidation>
    <dataValidation type="list" allowBlank="1" showInputMessage="1" prompt="Same letter = same superset" showErrorMessage="1" errorStyle="stop" errorTitle="Pick from the list" error="Choose one of the options in the dropdown." sqref="C107">
      <formula1>Lists!$E$2:$E$11</formula1>
    </dataValidation>
    <dataValidation type="list" allowBlank="1" showErrorMessage="1" errorStyle="stop" errorTitle="Pick from the list" error="Choose one of the options in the dropdown." sqref="C109:C11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19">
      <formula1>'Exercise Library'!$B$2:$B$319</formula1>
    </dataValidation>
    <dataValidation type="list" allowBlank="1" showErrorMessage="1" errorStyle="stop" errorTitle="Pick from the list" error="Choose one of the options in the dropdown." sqref="C11:C18">
      <formula1>Lists!$B$2:$B$9</formula1>
    </dataValidation>
    <dataValidation type="textLength" operator="lessThanOrEqual" allowBlank="1" showErrorMessage="1" error="200 characters or fewer." sqref="C120">
      <formula1>200</formula1>
    </dataValidation>
    <dataValidation type="list" allowBlank="1" showInputMessage="1" prompt="Same letter = same superset" showErrorMessage="1" errorStyle="stop" errorTitle="Pick from the list" error="Choose one of the options in the dropdown." sqref="C121">
      <formula1>Lists!$E$2:$E$11</formula1>
    </dataValidation>
    <dataValidation type="list" allowBlank="1" showErrorMessage="1" errorStyle="stop" errorTitle="Pick from the list" error="Choose one of the options in the dropdown." sqref="C123:C13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33">
      <formula1>'Exercise Library'!$B$2:$B$319</formula1>
    </dataValidation>
    <dataValidation type="textLength" operator="lessThanOrEqual" allowBlank="1" showErrorMessage="1" error="200 characters or fewer." sqref="C134">
      <formula1>200</formula1>
    </dataValidation>
    <dataValidation type="list" allowBlank="1" showInputMessage="1" prompt="Same letter = same superset" showErrorMessage="1" errorStyle="stop" errorTitle="Pick from the list" error="Choose one of the options in the dropdown." sqref="C135">
      <formula1>Lists!$E$2:$E$11</formula1>
    </dataValidation>
    <dataValidation type="list" allowBlank="1" showErrorMessage="1" errorStyle="stop" errorTitle="Pick from the list" error="Choose one of the options in the dropdown." sqref="C137:C14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47">
      <formula1>'Exercise Library'!$B$2:$B$319</formula1>
    </dataValidation>
    <dataValidation type="textLength" operator="lessThanOrEqual" allowBlank="1" showErrorMessage="1" error="200 characters or fewer." sqref="C148">
      <formula1>200</formula1>
    </dataValidation>
    <dataValidation type="list" allowBlank="1" showInputMessage="1" prompt="Same letter = same superset" showErrorMessage="1" errorStyle="stop" errorTitle="Pick from the list" error="Choose one of the options in the dropdown." sqref="C149">
      <formula1>Lists!$E$2:$E$11</formula1>
    </dataValidation>
    <dataValidation type="list" allowBlank="1" showErrorMessage="1" errorStyle="stop" errorTitle="Pick from the list" error="Choose one of the options in the dropdown." sqref="C151:C158">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61">
      <formula1>'Exercise Library'!$B$2:$B$319</formula1>
    </dataValidation>
    <dataValidation type="textLength" operator="lessThanOrEqual" allowBlank="1" showErrorMessage="1" error="200 characters or fewer." sqref="C162">
      <formula1>200</formula1>
    </dataValidation>
    <dataValidation type="list" allowBlank="1" showInputMessage="1" prompt="Same letter = same superset" showErrorMessage="1" errorStyle="stop" errorTitle="Pick from the list" error="Choose one of the options in the dropdown." sqref="C163">
      <formula1>Lists!$E$2:$E$11</formula1>
    </dataValidation>
    <dataValidation type="list" allowBlank="1" showErrorMessage="1" errorStyle="stop" errorTitle="Pick from the list" error="Choose one of the options in the dropdown." sqref="C165:C172">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75">
      <formula1>'Exercise Library'!$B$2:$B$319</formula1>
    </dataValidation>
    <dataValidation type="textLength" operator="lessThanOrEqual" allowBlank="1" showErrorMessage="1" error="200 characters or fewer." sqref="C176">
      <formula1>200</formula1>
    </dataValidation>
    <dataValidation type="list" allowBlank="1" showInputMessage="1" prompt="Same letter = same superset" showErrorMessage="1" errorStyle="stop" errorTitle="Pick from the list" error="Choose one of the options in the dropdown." sqref="C177">
      <formula1>Lists!$E$2:$E$11</formula1>
    </dataValidation>
    <dataValidation type="list" allowBlank="1" showErrorMessage="1" errorStyle="stop" errorTitle="Pick from the list" error="Choose one of the options in the dropdown." sqref="C179:C18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89">
      <formula1>'Exercise Library'!$B$2:$B$319</formula1>
    </dataValidation>
    <dataValidation type="textLength" operator="lessThanOrEqual" allowBlank="1" showErrorMessage="1" error="200 characters or fewer." sqref="C190">
      <formula1>200</formula1>
    </dataValidation>
    <dataValidation type="list" allowBlank="1" showInputMessage="1" prompt="Same letter = same superset" showErrorMessage="1" errorStyle="stop" errorTitle="Pick from the list" error="Choose one of the options in the dropdown." sqref="C191">
      <formula1>Lists!$E$2:$E$11</formula1>
    </dataValidation>
    <dataValidation type="list" allowBlank="1" showErrorMessage="1" errorStyle="stop" errorTitle="Pick from the list" error="Choose one of the options in the dropdown." sqref="C193:C20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03">
      <formula1>'Exercise Library'!$B$2:$B$319</formula1>
    </dataValidation>
    <dataValidation type="textLength" operator="lessThanOrEqual" allowBlank="1" showErrorMessage="1" error="200 characters or fewer." sqref="C204">
      <formula1>200</formula1>
    </dataValidation>
    <dataValidation type="list" allowBlank="1" showInputMessage="1" prompt="Same letter = same superset" showErrorMessage="1" errorStyle="stop" errorTitle="Pick from the list" error="Choose one of the options in the dropdown." sqref="C205">
      <formula1>Lists!$E$2:$E$11</formula1>
    </dataValidation>
    <dataValidation type="list" allowBlank="1" showErrorMessage="1" errorStyle="stop" errorTitle="Pick from the list" error="Choose one of the options in the dropdown." sqref="C207:C21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1">
      <formula1>'Exercise Library'!$B$2:$B$319</formula1>
    </dataValidation>
    <dataValidation type="textLength" operator="lessThanOrEqual" allowBlank="1" showErrorMessage="1" error="200 characters or fewer." sqref="C22">
      <formula1>200</formula1>
    </dataValidation>
    <dataValidation type="list" allowBlank="1" showInputMessage="1" prompt="Same letter = same superset" showErrorMessage="1" errorStyle="stop" errorTitle="Pick from the list" error="Choose one of the options in the dropdown." sqref="C23">
      <formula1>Lists!$E$2:$E$11</formula1>
    </dataValidation>
    <dataValidation type="list" allowBlank="1" showErrorMessage="1" errorStyle="stop" errorTitle="Pick from the list" error="Choose one of the options in the dropdown." sqref="C25:C32">
      <formula1>Lists!$B$2:$B$9</formula1>
    </dataValidation>
    <dataValidation type="textLength" operator="lessThanOrEqual" allowBlank="1" showErrorMessage="1" error="200 characters or fewer." sqref="C3">
      <formula1>200</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35">
      <formula1>'Exercise Library'!$B$2:$B$319</formula1>
    </dataValidation>
    <dataValidation type="textLength" operator="lessThanOrEqual" allowBlank="1" showErrorMessage="1" error="200 characters or fewer." sqref="C36">
      <formula1>200</formula1>
    </dataValidation>
    <dataValidation type="list" allowBlank="1" showInputMessage="1" prompt="Same letter = same superset" showErrorMessage="1" errorStyle="stop" errorTitle="Pick from the list" error="Choose one of the options in the dropdown." sqref="C37">
      <formula1>Lists!$E$2:$E$11</formula1>
    </dataValidation>
    <dataValidation type="list" allowBlank="1" showErrorMessage="1" errorStyle="stop" errorTitle="Pick from the list" error="Choose one of the options in the dropdown." sqref="C39:C4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49">
      <formula1>'Exercise Library'!$B$2:$B$319</formula1>
    </dataValidation>
    <dataValidation type="textLength" operator="lessThanOrEqual" allowBlank="1" showErrorMessage="1" error="200 characters or fewer." sqref="C50">
      <formula1>200</formula1>
    </dataValidation>
    <dataValidation type="list" allowBlank="1" showInputMessage="1" prompt="Same letter = same superset" showErrorMessage="1" errorStyle="stop" errorTitle="Pick from the list" error="Choose one of the options in the dropdown." sqref="C51">
      <formula1>Lists!$E$2:$E$11</formula1>
    </dataValidation>
    <dataValidation type="list" allowBlank="1" showErrorMessage="1" errorStyle="stop" errorTitle="Pick from the list" error="Choose one of the options in the dropdown." sqref="C53:C6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63">
      <formula1>'Exercise Library'!$B$2:$B$319</formula1>
    </dataValidation>
    <dataValidation type="textLength" operator="lessThanOrEqual" allowBlank="1" showErrorMessage="1" error="200 characters or fewer." sqref="C64">
      <formula1>200</formula1>
    </dataValidation>
    <dataValidation type="list" allowBlank="1" showInputMessage="1" prompt="Same letter = same superset" showErrorMessage="1" errorStyle="stop" errorTitle="Pick from the list" error="Choose one of the options in the dropdown." sqref="C65">
      <formula1>Lists!$E$2:$E$11</formula1>
    </dataValidation>
    <dataValidation type="list" allowBlank="1" showErrorMessage="1" errorStyle="stop" errorTitle="Pick from the list" error="Choose one of the options in the dropdown." sqref="C67:C7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
      <formula1>'Exercise Library'!$B$2:$B$319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7">
      <formula1>'Exercise Library'!$B$2:$B$319</formula1>
    </dataValidation>
    <dataValidation type="textLength" operator="lessThanOrEqual" allowBlank="1" showErrorMessage="1" error="200 characters or fewer." sqref="C78">
      <formula1>200</formula1>
    </dataValidation>
    <dataValidation type="list" allowBlank="1" showInputMessage="1" prompt="Same letter = same superset" showErrorMessage="1" errorStyle="stop" errorTitle="Pick from the list" error="Choose one of the options in the dropdown." sqref="C79">
      <formula1>Lists!$E$2:$E$11</formula1>
    </dataValidation>
    <dataValidation type="textLength" operator="lessThanOrEqual" allowBlank="1" showErrorMessage="1" error="200 characters or fewer." sqref="C8">
      <formula1>200</formula1>
    </dataValidation>
    <dataValidation type="list" allowBlank="1" showErrorMessage="1" errorStyle="stop" errorTitle="Pick from the list" error="Choose one of the options in the dropdown." sqref="C81:C88">
      <formula1>Lists!$B$2:$B$9</formula1>
    </dataValidation>
    <dataValidation type="list" allowBlank="1" showInputMessage="1" prompt="Same letter = same superset" showErrorMessage="1" errorStyle="stop" errorTitle="Pick from the list" error="Choose one of the options in the dropdown." sqref="C9">
      <formula1>Lists!$E$2:$E$11</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91">
      <formula1>'Exercise Library'!$B$2:$B$319</formula1>
    </dataValidation>
    <dataValidation type="textLength" operator="lessThanOrEqual" allowBlank="1" showErrorMessage="1" error="200 characters or fewer." sqref="C92">
      <formula1>200</formula1>
    </dataValidation>
    <dataValidation type="list" allowBlank="1" showInputMessage="1" prompt="Same letter = same superset" showErrorMessage="1" errorStyle="stop" errorTitle="Pick from the list" error="Choose one of the options in the dropdown." sqref="C93">
      <formula1>Lists!$E$2:$E$11</formula1>
    </dataValidation>
    <dataValidation type="list" allowBlank="1" showErrorMessage="1" errorStyle="stop" errorTitle="Pick from the list" error="Choose one of the options in the dropdown." sqref="C95:C102">
      <formula1>Lists!$B$2:$B$9</formula1>
    </dataValidation>
    <dataValidation type="decimal" allowBlank="1" showErrorMessage="1" error="Goal weight: a number from 0 to 2000 (lbs)." sqref="D109:D116">
      <formula1>0</formula1>
      <formula2>2000</formula2>
    </dataValidation>
    <dataValidation type="decimal" allowBlank="1" showErrorMessage="1" error="Goal weight: a number from 0 to 2000 (lbs)." sqref="D11:D18">
      <formula1>0</formula1>
      <formula2>2000</formula2>
    </dataValidation>
    <dataValidation type="decimal" allowBlank="1" showErrorMessage="1" error="Goal weight: a number from 0 to 2000 (lbs)." sqref="D123:D130">
      <formula1>0</formula1>
      <formula2>2000</formula2>
    </dataValidation>
    <dataValidation type="decimal" allowBlank="1" showErrorMessage="1" error="Goal weight: a number from 0 to 2000 (lbs)." sqref="D137:D144">
      <formula1>0</formula1>
      <formula2>2000</formula2>
    </dataValidation>
    <dataValidation type="decimal" allowBlank="1" showErrorMessage="1" error="Goal weight: a number from 0 to 2000 (lbs)." sqref="D151:D158">
      <formula1>0</formula1>
      <formula2>2000</formula2>
    </dataValidation>
    <dataValidation type="decimal" allowBlank="1" showErrorMessage="1" error="Goal weight: a number from 0 to 2000 (lbs)." sqref="D165:D172">
      <formula1>0</formula1>
      <formula2>2000</formula2>
    </dataValidation>
    <dataValidation type="decimal" allowBlank="1" showErrorMessage="1" error="Goal weight: a number from 0 to 2000 (lbs)." sqref="D179:D186">
      <formula1>0</formula1>
      <formula2>2000</formula2>
    </dataValidation>
    <dataValidation type="decimal" allowBlank="1" showErrorMessage="1" error="Goal weight: a number from 0 to 2000 (lbs)." sqref="D193:D200">
      <formula1>0</formula1>
      <formula2>2000</formula2>
    </dataValidation>
    <dataValidation type="decimal" allowBlank="1" showErrorMessage="1" error="Goal weight: a number from 0 to 2000 (lbs)." sqref="D207:D214">
      <formula1>0</formula1>
      <formula2>2000</formula2>
    </dataValidation>
    <dataValidation type="decimal" allowBlank="1" showErrorMessage="1" error="Goal weight: a number from 0 to 2000 (lbs)." sqref="D25:D32">
      <formula1>0</formula1>
      <formula2>2000</formula2>
    </dataValidation>
    <dataValidation type="decimal" allowBlank="1" showErrorMessage="1" error="Goal weight: a number from 0 to 2000 (lbs)." sqref="D39:D46">
      <formula1>0</formula1>
      <formula2>2000</formula2>
    </dataValidation>
    <dataValidation type="decimal" allowBlank="1" showErrorMessage="1" error="Goal weight: a number from 0 to 2000 (lbs)." sqref="D53:D60">
      <formula1>0</formula1>
      <formula2>2000</formula2>
    </dataValidation>
    <dataValidation type="decimal" allowBlank="1" showErrorMessage="1" error="Goal weight: a number from 0 to 2000 (lbs)." sqref="D67:D74">
      <formula1>0</formula1>
      <formula2>2000</formula2>
    </dataValidation>
    <dataValidation type="decimal" allowBlank="1" showErrorMessage="1" error="Goal weight: a number from 0 to 2000 (lbs)." sqref="D81:D88">
      <formula1>0</formula1>
      <formula2>2000</formula2>
    </dataValidation>
    <dataValidation type="decimal" allowBlank="1" showErrorMessage="1" error="Goal weight: a number from 0 to 2000 (lbs)." sqref="D95:D102">
      <formula1>0</formula1>
      <formula2>2000</formula2>
    </dataValidation>
    <dataValidation type="list" allowBlank="1" showInputMessage="1" prompt="Muscle group for the custom exercise" showErrorMessage="1" errorStyle="stop" errorTitle="Pick from the list" error="Choose one of the options in the dropdown." sqref="E106">
      <formula1>Lists!$D$2:$D$15</formula1>
    </dataValidation>
    <dataValidation type="whole" allowBlank="1" showErrorMessage="1" error="Goal reps: a whole number from 0 to 100." sqref="E109:E116">
      <formula1>0</formula1>
      <formula2>100</formula2>
    </dataValidation>
    <dataValidation type="whole" allowBlank="1" showErrorMessage="1" error="Goal reps: a whole number from 0 to 100." sqref="E11:E18">
      <formula1>0</formula1>
      <formula2>100</formula2>
    </dataValidation>
    <dataValidation type="list" allowBlank="1" showInputMessage="1" prompt="Muscle group for the custom exercise" showErrorMessage="1" errorStyle="stop" errorTitle="Pick from the list" error="Choose one of the options in the dropdown." sqref="E120">
      <formula1>Lists!$D$2:$D$15</formula1>
    </dataValidation>
    <dataValidation type="whole" allowBlank="1" showErrorMessage="1" error="Goal reps: a whole number from 0 to 100." sqref="E123:E130">
      <formula1>0</formula1>
      <formula2>100</formula2>
    </dataValidation>
    <dataValidation type="list" allowBlank="1" showInputMessage="1" prompt="Muscle group for the custom exercise" showErrorMessage="1" errorStyle="stop" errorTitle="Pick from the list" error="Choose one of the options in the dropdown." sqref="E134">
      <formula1>Lists!$D$2:$D$15</formula1>
    </dataValidation>
    <dataValidation type="whole" allowBlank="1" showErrorMessage="1" error="Goal reps: a whole number from 0 to 100." sqref="E137:E144">
      <formula1>0</formula1>
      <formula2>100</formula2>
    </dataValidation>
    <dataValidation type="list" allowBlank="1" showInputMessage="1" prompt="Muscle group for the custom exercise" showErrorMessage="1" errorStyle="stop" errorTitle="Pick from the list" error="Choose one of the options in the dropdown." sqref="E148">
      <formula1>Lists!$D$2:$D$15</formula1>
    </dataValidation>
    <dataValidation type="whole" allowBlank="1" showErrorMessage="1" error="Goal reps: a whole number from 0 to 100." sqref="E151:E158">
      <formula1>0</formula1>
      <formula2>100</formula2>
    </dataValidation>
    <dataValidation type="list" allowBlank="1" showInputMessage="1" prompt="Muscle group for the custom exercise" showErrorMessage="1" errorStyle="stop" errorTitle="Pick from the list" error="Choose one of the options in the dropdown." sqref="E162">
      <formula1>Lists!$D$2:$D$15</formula1>
    </dataValidation>
    <dataValidation type="whole" allowBlank="1" showErrorMessage="1" error="Goal reps: a whole number from 0 to 100." sqref="E165:E172">
      <formula1>0</formula1>
      <formula2>100</formula2>
    </dataValidation>
    <dataValidation type="list" allowBlank="1" showInputMessage="1" prompt="Muscle group for the custom exercise" showErrorMessage="1" errorStyle="stop" errorTitle="Pick from the list" error="Choose one of the options in the dropdown." sqref="E176">
      <formula1>Lists!$D$2:$D$15</formula1>
    </dataValidation>
    <dataValidation type="whole" allowBlank="1" showErrorMessage="1" error="Goal reps: a whole number from 0 to 100." sqref="E179:E186">
      <formula1>0</formula1>
      <formula2>100</formula2>
    </dataValidation>
    <dataValidation type="list" allowBlank="1" showInputMessage="1" prompt="Muscle group for the custom exercise" showErrorMessage="1" errorStyle="stop" errorTitle="Pick from the list" error="Choose one of the options in the dropdown." sqref="E190">
      <formula1>Lists!$D$2:$D$15</formula1>
    </dataValidation>
    <dataValidation type="whole" allowBlank="1" showErrorMessage="1" error="Goal reps: a whole number from 0 to 100." sqref="E193:E200">
      <formula1>0</formula1>
      <formula2>100</formula2>
    </dataValidation>
    <dataValidation type="list" allowBlank="1" showInputMessage="1" prompt="Muscle group for the custom exercise" showErrorMessage="1" errorStyle="stop" errorTitle="Pick from the list" error="Choose one of the options in the dropdown." sqref="E204">
      <formula1>Lists!$D$2:$D$15</formula1>
    </dataValidation>
    <dataValidation type="whole" allowBlank="1" showErrorMessage="1" error="Goal reps: a whole number from 0 to 100." sqref="E207:E214">
      <formula1>0</formula1>
      <formula2>100</formula2>
    </dataValidation>
    <dataValidation type="list" allowBlank="1" showInputMessage="1" prompt="Muscle group for the custom exercise" showErrorMessage="1" errorStyle="stop" errorTitle="Pick from the list" error="Choose one of the options in the dropdown." sqref="E22">
      <formula1>Lists!$D$2:$D$15</formula1>
    </dataValidation>
    <dataValidation type="whole" allowBlank="1" showErrorMessage="1" error="Goal reps: a whole number from 0 to 100." sqref="E25:E32">
      <formula1>0</formula1>
      <formula2>100</formula2>
    </dataValidation>
    <dataValidation type="list" allowBlank="1" showInputMessage="1" prompt="Muscle group for the custom exercise" showErrorMessage="1" errorStyle="stop" errorTitle="Pick from the list" error="Choose one of the options in the dropdown." sqref="E36">
      <formula1>Lists!$D$2:$D$15</formula1>
    </dataValidation>
    <dataValidation type="whole" allowBlank="1" showErrorMessage="1" error="Goal reps: a whole number from 0 to 100." sqref="E39:E46">
      <formula1>0</formula1>
      <formula2>100</formula2>
    </dataValidation>
    <dataValidation type="list" allowBlank="1" showInputMessage="1" prompt="Muscle group for the custom exercise" showErrorMessage="1" errorStyle="stop" errorTitle="Pick from the list" error="Choose one of the options in the dropdown." sqref="E50">
      <formula1>Lists!$D$2:$D$15</formula1>
    </dataValidation>
    <dataValidation type="whole" allowBlank="1" showErrorMessage="1" error="Goal reps: a whole number from 0 to 100." sqref="E53:E60">
      <formula1>0</formula1>
      <formula2>100</formula2>
    </dataValidation>
    <dataValidation type="list" allowBlank="1" showInputMessage="1" prompt="Muscle group for the custom exercise" showErrorMessage="1" errorStyle="stop" errorTitle="Pick from the list" error="Choose one of the options in the dropdown." sqref="E64">
      <formula1>Lists!$D$2:$D$15</formula1>
    </dataValidation>
    <dataValidation type="whole" allowBlank="1" showErrorMessage="1" error="Goal reps: a whole number from 0 to 100." sqref="E67:E74">
      <formula1>0</formula1>
      <formula2>100</formula2>
    </dataValidation>
    <dataValidation type="list" allowBlank="1" showInputMessage="1" prompt="Muscle group for the custom exercise" showErrorMessage="1" errorStyle="stop" errorTitle="Pick from the list" error="Choose one of the options in the dropdown." sqref="E78">
      <formula1>Lists!$D$2:$D$15</formula1>
    </dataValidation>
    <dataValidation type="list" allowBlank="1" showInputMessage="1" prompt="Muscle group for the custom exercise" showErrorMessage="1" errorStyle="stop" errorTitle="Pick from the list" error="Choose one of the options in the dropdown." sqref="E8">
      <formula1>Lists!$D$2:$D$15</formula1>
    </dataValidation>
    <dataValidation type="whole" allowBlank="1" showErrorMessage="1" error="Goal reps: a whole number from 0 to 100." sqref="E81:E88">
      <formula1>0</formula1>
      <formula2>100</formula2>
    </dataValidation>
    <dataValidation type="list" allowBlank="1" showInputMessage="1" prompt="Muscle group for the custom exercise" showErrorMessage="1" errorStyle="stop" errorTitle="Pick from the list" error="Choose one of the options in the dropdown." sqref="E92">
      <formula1>Lists!$D$2:$D$15</formula1>
    </dataValidation>
    <dataValidation type="whole" allowBlank="1" showErrorMessage="1" error="Goal reps: a whole number from 0 to 100." sqref="E95:E102">
      <formula1>0</formula1>
      <formula2>100</formula2>
    </dataValidation>
    <dataValidation type="textLength" operator="lessThanOrEqual" allowBlank="1" showErrorMessage="1" error="Keep the rep range short, e.g. 8-12." sqref="F109:F116">
      <formula1>20</formula1>
    </dataValidation>
    <dataValidation type="textLength" operator="lessThanOrEqual" allowBlank="1" showErrorMessage="1" error="Keep the rep range short, e.g. 8-12." sqref="F11:F18">
      <formula1>20</formula1>
    </dataValidation>
    <dataValidation type="textLength" operator="lessThanOrEqual" allowBlank="1" showErrorMessage="1" error="Keep the rep range short, e.g. 8-12." sqref="F123:F130">
      <formula1>20</formula1>
    </dataValidation>
    <dataValidation type="textLength" operator="lessThanOrEqual" allowBlank="1" showErrorMessage="1" error="Keep the rep range short, e.g. 8-12." sqref="F137:F144">
      <formula1>20</formula1>
    </dataValidation>
    <dataValidation type="textLength" operator="lessThanOrEqual" allowBlank="1" showErrorMessage="1" error="Keep the rep range short, e.g. 8-12." sqref="F151:F158">
      <formula1>20</formula1>
    </dataValidation>
    <dataValidation type="textLength" operator="lessThanOrEqual" allowBlank="1" showErrorMessage="1" error="Keep the rep range short, e.g. 8-12." sqref="F165:F172">
      <formula1>20</formula1>
    </dataValidation>
    <dataValidation type="textLength" operator="lessThanOrEqual" allowBlank="1" showErrorMessage="1" error="Keep the rep range short, e.g. 8-12." sqref="F179:F186">
      <formula1>20</formula1>
    </dataValidation>
    <dataValidation type="textLength" operator="lessThanOrEqual" allowBlank="1" showErrorMessage="1" error="Keep the rep range short, e.g. 8-12." sqref="F193:F200">
      <formula1>20</formula1>
    </dataValidation>
    <dataValidation type="textLength" operator="lessThanOrEqual" allowBlank="1" showErrorMessage="1" error="Keep the rep range short, e.g. 8-12." sqref="F207:F214">
      <formula1>20</formula1>
    </dataValidation>
    <dataValidation type="textLength" operator="lessThanOrEqual" allowBlank="1" showErrorMessage="1" error="Keep the rep range short, e.g. 8-12." sqref="F25:F32">
      <formula1>20</formula1>
    </dataValidation>
    <dataValidation type="textLength" operator="lessThanOrEqual" allowBlank="1" showErrorMessage="1" error="Keep the rep range short, e.g. 8-12." sqref="F39:F46">
      <formula1>20</formula1>
    </dataValidation>
    <dataValidation type="textLength" operator="lessThanOrEqual" allowBlank="1" showErrorMessage="1" error="Keep the rep range short, e.g. 8-12." sqref="F53:F60">
      <formula1>20</formula1>
    </dataValidation>
    <dataValidation type="textLength" operator="lessThanOrEqual" allowBlank="1" showErrorMessage="1" error="Keep the rep range short, e.g. 8-12." sqref="F67:F74">
      <formula1>20</formula1>
    </dataValidation>
    <dataValidation type="textLength" operator="lessThanOrEqual" allowBlank="1" showErrorMessage="1" error="Keep the rep range short, e.g. 8-12." sqref="F81:F88">
      <formula1>20</formula1>
    </dataValidation>
    <dataValidation type="textLength" operator="lessThanOrEqual" allowBlank="1" showErrorMessage="1" error="Keep the rep range short, e.g. 8-12." sqref="F95:F102">
      <formula1>20</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A6EA5"/>
  </sheetPr>
  <dimension ref="A1:Q214"/>
  <sheetViews>
    <sheetView workbookViewId="0" showGridLines="0">
      <pane ySplit="4" topLeftCell="A5" activePane="bottomLeft" state="frozen"/>
      <selection pane="bottomLeft"/>
    </sheetView>
  </sheetViews>
  <sheetFormatPr defaultRowHeight="15" outlineLevelRow="0" outlineLevelCol="0" x14ac:dyDescent="55"/>
  <cols>
    <col min="1" max="1" width="2" customWidth="1"/>
    <col min="2" max="2" width="13" customWidth="1"/>
    <col min="3" max="3" width="18" customWidth="1"/>
    <col min="4" max="6" width="14" customWidth="1"/>
    <col min="7" max="7" width="40" customWidth="1"/>
    <col min="14" max="14" width="9" hidden="1" customWidth="1"/>
    <col min="15" max="15" width="9" hidden="1" customWidth="1"/>
    <col min="16" max="16" width="9" hidden="1" customWidth="1"/>
    <col min="17" max="17" width="9" hidden="1" customWidth="1"/>
  </cols>
  <sheetData>
    <row r="1" ht="30" customHeight="1" spans="1:15" x14ac:dyDescent="0.25">
      <c r="A1" s="14">
        <f>IF($O$1="FILL","✅  FILL OUT THIS SHEET — Workout 3",IF($O$1="SKIP","⛔  NOT NEEDED — leave this sheet blank","Start on the Start sheet: answer question 1 first"))</f>
      </c>
      <c r="B1" s="14"/>
      <c r="C1" s="14"/>
      <c r="D1" s="14"/>
      <c r="E1" s="14"/>
      <c r="F1" s="14"/>
      <c r="G1" s="14"/>
      <c r="O1">
        <f>IF(Start!$C$4="Single Workout","SKIP",IF(Start!$C$4="Program",IF(3&lt;=N(Start!$C$9),"FILL","SKIP"),""))</f>
      </c>
    </row>
    <row r="2" spans="15:15" x14ac:dyDescent="0.25">
      <c r="O2">
        <f>IF($O$1="FILL",COUNTIF($G$3:$G$214,"⚠*"),0)</f>
      </c>
    </row>
    <row r="3" ht="26" customHeight="1" spans="2:7" x14ac:dyDescent="0.25">
      <c r="B3" s="15" t="s">
        <v>42</v>
      </c>
      <c r="C3" s="16"/>
      <c r="D3" s="16"/>
      <c r="E3" s="16"/>
      <c r="F3" s="16"/>
      <c r="G3" s="17">
        <f>IFERROR(IF($O$1&lt;&gt;"FILL","",IF($C$3="","⚠ Name this workout",IF($C$3="REST","⚠ REST is reserved for rest days — pick another name",IF(COUNTIF(Lists!$A$3:$A$14,$C$3)&gt;1,"⚠ Another workout has this name",IF(COUNTA($C$7,$C$8,$C$21,$C$22,$C$35,$C$36,$C$49,$C$50,$C$63,$C$64,$C$77,$C$78,$C$91,$C$92,$C$105,$C$106,$C$119,$C$120,$C$133,$C$134,$C$147,$C$148,$C$161,$C$162,$C$175,$C$176,$C$189,$C$190,$C$203,$C$204)=0,"⚠ Add at least one exercise","✓ Looks good"))))),"⚠ Check this row")</f>
      </c>
    </row>
    <row r="4" ht="30" customHeight="1" spans="2:6" x14ac:dyDescent="0.25">
      <c r="B4" s="15" t="s">
        <v>43</v>
      </c>
      <c r="C4" s="5"/>
      <c r="D4" s="5"/>
      <c r="E4" s="5"/>
      <c r="F4" s="5"/>
    </row>
    <row r="6" spans="2:6" x14ac:dyDescent="0.25">
      <c r="B6" s="18" t="s">
        <v>44</v>
      </c>
      <c r="C6" s="19"/>
      <c r="D6" s="19"/>
      <c r="E6" s="5"/>
      <c r="F6" s="5"/>
    </row>
    <row r="7" ht="24" customHeight="1" spans="2:16" x14ac:dyDescent="0.25">
      <c r="B7" s="20" t="s">
        <v>45</v>
      </c>
      <c r="C7" s="21"/>
      <c r="D7" s="21"/>
      <c r="E7" s="21"/>
      <c r="F7" s="21"/>
      <c r="G7" s="4">
        <f>IFERROR(IF(AND($C$7="",$C$8=""),IF(COUNTA($C$6:$F$6,$E$9,$C$11:$F$18)+COUNTA($E$8,$C$9)&gt;0,"⚠ Pick an exercise for this card",""),IF(AND($C$7&lt;&gt;"",$C$8&lt;&gt;""),"⚠ Use the library OR a custom exercise, not both",IF(AND($C$8&lt;&gt;"",$E$8=""),"⚠ Pick a muscle group for the custom exercise",IF(COUNT($E$11:$E$18)=0,"⚠ Enter Goal Reps for at least one set",IF(SUM($Q$11:$Q$18)&gt;0,"⚠ A set is missing Goal Reps",IF(IF($C$9="",1=0,COUNTIF($P$7:$P$214,$C$9)&lt;2),"⚠ Superset "&amp;$C$9&amp;" needs 2+ exercises",IF($C$7&lt;&gt;"",IFERROR("✓ "&amp;INDEX('Exercise Library'!$C$2:$C$319,MATCH($C$7,'Exercise Library'!$B$2:$B$319,0))&amp;IF(INDEX('Exercise Library'!$D$2:$D$319,MATCH($C$7,'Exercise Library'!$B$2:$B$319,0))="Yes"," · demo video","")&amp;" · "&amp;COUNT($E$11:$E$18)&amp;" sets","⚠ Not in the library — use Custom"),"✓ Custom ("&amp;$E$8&amp;") · "&amp;COUNT($E$11:$E$18)&amp;" sets"))))))),"⚠ Check this row")</f>
      </c>
      <c r="P7">
        <f>IF(OR($C$7&lt;&gt;"",$C$8&lt;&gt;""),$C$9,"")</f>
      </c>
    </row>
    <row r="8" spans="2:6" x14ac:dyDescent="0.25">
      <c r="B8" s="18" t="s">
        <v>46</v>
      </c>
      <c r="C8" s="5"/>
      <c r="D8" s="5"/>
      <c r="E8" s="5"/>
      <c r="F8" s="18" t="s">
        <v>47</v>
      </c>
    </row>
    <row r="9" ht="22" customHeight="1" spans="2:6" x14ac:dyDescent="0.25">
      <c r="B9" s="18" t="s">
        <v>48</v>
      </c>
      <c r="C9" s="22"/>
      <c r="D9" s="18" t="s">
        <v>49</v>
      </c>
      <c r="E9" s="5"/>
      <c r="F9" s="5"/>
    </row>
    <row r="10" spans="2:6" x14ac:dyDescent="0.25">
      <c r="B10" s="23" t="s">
        <v>50</v>
      </c>
      <c r="C10" s="23" t="s">
        <v>51</v>
      </c>
      <c r="D10" s="23" t="s">
        <v>52</v>
      </c>
      <c r="E10" s="23" t="s">
        <v>53</v>
      </c>
      <c r="F10" s="23" t="s">
        <v>54</v>
      </c>
    </row>
    <row r="11" spans="2:17" x14ac:dyDescent="0.25">
      <c r="B11" s="24">
        <v>1</v>
      </c>
      <c r="C11" s="22"/>
      <c r="D11" s="22"/>
      <c r="E11" s="22"/>
      <c r="F11" s="22"/>
      <c r="Q11">
        <f>IF(AND($E11="",COUNTA($C11:$D11,$F11)&gt;0),1,0)</f>
      </c>
    </row>
    <row r="12" spans="2:17" x14ac:dyDescent="0.25">
      <c r="B12" s="24">
        <v>2</v>
      </c>
      <c r="C12" s="22"/>
      <c r="D12" s="22"/>
      <c r="E12" s="22"/>
      <c r="F12" s="22"/>
      <c r="Q12">
        <f>IF(AND($E12="",COUNTA($C12:$D12,$F12)&gt;0),1,0)</f>
      </c>
    </row>
    <row r="13" spans="2:17" x14ac:dyDescent="0.25">
      <c r="B13" s="24">
        <v>3</v>
      </c>
      <c r="C13" s="22"/>
      <c r="D13" s="22"/>
      <c r="E13" s="22"/>
      <c r="F13" s="22"/>
      <c r="Q13">
        <f>IF(AND($E13="",COUNTA($C13:$D13,$F13)&gt;0),1,0)</f>
      </c>
    </row>
    <row r="14" spans="2:17" x14ac:dyDescent="0.25">
      <c r="B14" s="24">
        <v>4</v>
      </c>
      <c r="C14" s="22"/>
      <c r="D14" s="22"/>
      <c r="E14" s="22"/>
      <c r="F14" s="22"/>
      <c r="Q14">
        <f>IF(AND($E14="",COUNTA($C14:$D14,$F14)&gt;0),1,0)</f>
      </c>
    </row>
    <row r="15" spans="2:17" x14ac:dyDescent="0.25">
      <c r="B15" s="24">
        <v>5</v>
      </c>
      <c r="C15" s="22"/>
      <c r="D15" s="22"/>
      <c r="E15" s="22"/>
      <c r="F15" s="22"/>
      <c r="Q15">
        <f>IF(AND($E15="",COUNTA($C15:$D15,$F15)&gt;0),1,0)</f>
      </c>
    </row>
    <row r="16" spans="2:17" x14ac:dyDescent="0.25">
      <c r="B16" s="24">
        <v>6</v>
      </c>
      <c r="C16" s="22"/>
      <c r="D16" s="22"/>
      <c r="E16" s="22"/>
      <c r="F16" s="22"/>
      <c r="Q16">
        <f>IF(AND($E16="",COUNTA($C16:$D16,$F16)&gt;0),1,0)</f>
      </c>
    </row>
    <row r="17" spans="2:17" x14ac:dyDescent="0.25">
      <c r="B17" s="24">
        <v>7</v>
      </c>
      <c r="C17" s="22"/>
      <c r="D17" s="22"/>
      <c r="E17" s="22"/>
      <c r="F17" s="22"/>
      <c r="Q17">
        <f>IF(AND($E17="",COUNTA($C17:$D17,$F17)&gt;0),1,0)</f>
      </c>
    </row>
    <row r="18" spans="2:17" x14ac:dyDescent="0.25">
      <c r="B18" s="24">
        <v>8</v>
      </c>
      <c r="C18" s="22"/>
      <c r="D18" s="22"/>
      <c r="E18" s="22"/>
      <c r="F18" s="22"/>
      <c r="Q18">
        <f>IF(AND($E18="",COUNTA($C18:$D18,$F18)&gt;0),1,0)</f>
      </c>
    </row>
    <row r="20" spans="2:6" x14ac:dyDescent="0.25">
      <c r="B20" s="18" t="s">
        <v>44</v>
      </c>
      <c r="C20" s="19"/>
      <c r="D20" s="19"/>
      <c r="E20" s="5"/>
      <c r="F20" s="5"/>
    </row>
    <row r="21" ht="24" customHeight="1" spans="2:16" x14ac:dyDescent="0.25">
      <c r="B21" s="20" t="s">
        <v>55</v>
      </c>
      <c r="C21" s="21"/>
      <c r="D21" s="21"/>
      <c r="E21" s="21"/>
      <c r="F21" s="21"/>
      <c r="G21" s="4">
        <f>IFERROR(IF(AND($C$21="",$C$22=""),IF(COUNTA($C$20:$F$20,$E$23,$C$25:$F$32)+COUNTA($E$22,$C$23)&gt;0,"⚠ Pick an exercise for this card",""),IF(AND($C$21&lt;&gt;"",$C$22&lt;&gt;""),"⚠ Use the library OR a custom exercise, not both",IF(AND($C$22&lt;&gt;"",$E$22=""),"⚠ Pick a muscle group for the custom exercise",IF(COUNT($E$25:$E$32)=0,"⚠ Enter Goal Reps for at least one set",IF(SUM($Q$25:$Q$32)&gt;0,"⚠ A set is missing Goal Reps",IF(IF($C$23="",1=0,COUNTIF($P$7:$P$214,$C$23)&lt;2),"⚠ Superset "&amp;$C$23&amp;" needs 2+ exercises",IF($C$21&lt;&gt;"",IFERROR("✓ "&amp;INDEX('Exercise Library'!$C$2:$C$319,MATCH($C$21,'Exercise Library'!$B$2:$B$319,0))&amp;IF(INDEX('Exercise Library'!$D$2:$D$319,MATCH($C$21,'Exercise Library'!$B$2:$B$319,0))="Yes"," · demo video","")&amp;" · "&amp;COUNT($E$25:$E$32)&amp;" sets","⚠ Not in the library — use Custom"),"✓ Custom ("&amp;$E$22&amp;") · "&amp;COUNT($E$25:$E$32)&amp;" sets"))))))),"⚠ Check this row")</f>
      </c>
      <c r="P21">
        <f>IF(OR($C$21&lt;&gt;"",$C$22&lt;&gt;""),$C$23,"")</f>
      </c>
    </row>
    <row r="22" spans="2:6" x14ac:dyDescent="0.25">
      <c r="B22" s="18" t="s">
        <v>46</v>
      </c>
      <c r="C22" s="5"/>
      <c r="D22" s="5"/>
      <c r="E22" s="5"/>
      <c r="F22" s="18" t="s">
        <v>47</v>
      </c>
    </row>
    <row r="23" ht="22" customHeight="1" spans="2:6" x14ac:dyDescent="0.25">
      <c r="B23" s="18" t="s">
        <v>48</v>
      </c>
      <c r="C23" s="22"/>
      <c r="D23" s="18" t="s">
        <v>49</v>
      </c>
      <c r="E23" s="5"/>
      <c r="F23" s="5"/>
    </row>
    <row r="24" spans="2:6" x14ac:dyDescent="0.25">
      <c r="B24" s="23" t="s">
        <v>50</v>
      </c>
      <c r="C24" s="23" t="s">
        <v>51</v>
      </c>
      <c r="D24" s="23" t="s">
        <v>52</v>
      </c>
      <c r="E24" s="23" t="s">
        <v>53</v>
      </c>
      <c r="F24" s="23" t="s">
        <v>54</v>
      </c>
    </row>
    <row r="25" spans="2:17" x14ac:dyDescent="0.25">
      <c r="B25" s="24">
        <v>1</v>
      </c>
      <c r="C25" s="22"/>
      <c r="D25" s="22"/>
      <c r="E25" s="22"/>
      <c r="F25" s="22"/>
      <c r="Q25">
        <f>IF(AND($E25="",COUNTA($C25:$D25,$F25)&gt;0),1,0)</f>
      </c>
    </row>
    <row r="26" spans="2:17" x14ac:dyDescent="0.25">
      <c r="B26" s="24">
        <v>2</v>
      </c>
      <c r="C26" s="22"/>
      <c r="D26" s="22"/>
      <c r="E26" s="22"/>
      <c r="F26" s="22"/>
      <c r="Q26">
        <f>IF(AND($E26="",COUNTA($C26:$D26,$F26)&gt;0),1,0)</f>
      </c>
    </row>
    <row r="27" spans="2:17" x14ac:dyDescent="0.25">
      <c r="B27" s="24">
        <v>3</v>
      </c>
      <c r="C27" s="22"/>
      <c r="D27" s="22"/>
      <c r="E27" s="22"/>
      <c r="F27" s="22"/>
      <c r="Q27">
        <f>IF(AND($E27="",COUNTA($C27:$D27,$F27)&gt;0),1,0)</f>
      </c>
    </row>
    <row r="28" spans="2:17" x14ac:dyDescent="0.25">
      <c r="B28" s="24">
        <v>4</v>
      </c>
      <c r="C28" s="22"/>
      <c r="D28" s="22"/>
      <c r="E28" s="22"/>
      <c r="F28" s="22"/>
      <c r="Q28">
        <f>IF(AND($E28="",COUNTA($C28:$D28,$F28)&gt;0),1,0)</f>
      </c>
    </row>
    <row r="29" spans="2:17" x14ac:dyDescent="0.25">
      <c r="B29" s="24">
        <v>5</v>
      </c>
      <c r="C29" s="22"/>
      <c r="D29" s="22"/>
      <c r="E29" s="22"/>
      <c r="F29" s="22"/>
      <c r="Q29">
        <f>IF(AND($E29="",COUNTA($C29:$D29,$F29)&gt;0),1,0)</f>
      </c>
    </row>
    <row r="30" spans="2:17" x14ac:dyDescent="0.25">
      <c r="B30" s="24">
        <v>6</v>
      </c>
      <c r="C30" s="22"/>
      <c r="D30" s="22"/>
      <c r="E30" s="22"/>
      <c r="F30" s="22"/>
      <c r="Q30">
        <f>IF(AND($E30="",COUNTA($C30:$D30,$F30)&gt;0),1,0)</f>
      </c>
    </row>
    <row r="31" spans="2:17" x14ac:dyDescent="0.25">
      <c r="B31" s="24">
        <v>7</v>
      </c>
      <c r="C31" s="22"/>
      <c r="D31" s="22"/>
      <c r="E31" s="22"/>
      <c r="F31" s="22"/>
      <c r="Q31">
        <f>IF(AND($E31="",COUNTA($C31:$D31,$F31)&gt;0),1,0)</f>
      </c>
    </row>
    <row r="32" spans="2:17" x14ac:dyDescent="0.25">
      <c r="B32" s="24">
        <v>8</v>
      </c>
      <c r="C32" s="22"/>
      <c r="D32" s="22"/>
      <c r="E32" s="22"/>
      <c r="F32" s="22"/>
      <c r="Q32">
        <f>IF(AND($E32="",COUNTA($C32:$D32,$F32)&gt;0),1,0)</f>
      </c>
    </row>
    <row r="34" spans="2:6" x14ac:dyDescent="0.25">
      <c r="B34" s="18" t="s">
        <v>44</v>
      </c>
      <c r="C34" s="19"/>
      <c r="D34" s="19"/>
      <c r="E34" s="5"/>
      <c r="F34" s="5"/>
    </row>
    <row r="35" ht="24" customHeight="1" spans="2:16" x14ac:dyDescent="0.25">
      <c r="B35" s="20" t="s">
        <v>56</v>
      </c>
      <c r="C35" s="21"/>
      <c r="D35" s="21"/>
      <c r="E35" s="21"/>
      <c r="F35" s="21"/>
      <c r="G35" s="4">
        <f>IFERROR(IF(AND($C$35="",$C$36=""),IF(COUNTA($C$34:$F$34,$E$37,$C$39:$F$46)+COUNTA($E$36,$C$37)&gt;0,"⚠ Pick an exercise for this card",""),IF(AND($C$35&lt;&gt;"",$C$36&lt;&gt;""),"⚠ Use the library OR a custom exercise, not both",IF(AND($C$36&lt;&gt;"",$E$36=""),"⚠ Pick a muscle group for the custom exercise",IF(COUNT($E$39:$E$46)=0,"⚠ Enter Goal Reps for at least one set",IF(SUM($Q$39:$Q$46)&gt;0,"⚠ A set is missing Goal Reps",IF(IF($C$37="",1=0,COUNTIF($P$7:$P$214,$C$37)&lt;2),"⚠ Superset "&amp;$C$37&amp;" needs 2+ exercises",IF($C$35&lt;&gt;"",IFERROR("✓ "&amp;INDEX('Exercise Library'!$C$2:$C$319,MATCH($C$35,'Exercise Library'!$B$2:$B$319,0))&amp;IF(INDEX('Exercise Library'!$D$2:$D$319,MATCH($C$35,'Exercise Library'!$B$2:$B$319,0))="Yes"," · demo video","")&amp;" · "&amp;COUNT($E$39:$E$46)&amp;" sets","⚠ Not in the library — use Custom"),"✓ Custom ("&amp;$E$36&amp;") · "&amp;COUNT($E$39:$E$46)&amp;" sets"))))))),"⚠ Check this row")</f>
      </c>
      <c r="P35">
        <f>IF(OR($C$35&lt;&gt;"",$C$36&lt;&gt;""),$C$37,"")</f>
      </c>
    </row>
    <row r="36" spans="2:6" x14ac:dyDescent="0.25">
      <c r="B36" s="18" t="s">
        <v>46</v>
      </c>
      <c r="C36" s="5"/>
      <c r="D36" s="5"/>
      <c r="E36" s="5"/>
      <c r="F36" s="18" t="s">
        <v>47</v>
      </c>
    </row>
    <row r="37" ht="22" customHeight="1" spans="2:6" x14ac:dyDescent="0.25">
      <c r="B37" s="18" t="s">
        <v>48</v>
      </c>
      <c r="C37" s="22"/>
      <c r="D37" s="18" t="s">
        <v>49</v>
      </c>
      <c r="E37" s="5"/>
      <c r="F37" s="5"/>
    </row>
    <row r="38" spans="2:6" x14ac:dyDescent="0.25">
      <c r="B38" s="23" t="s">
        <v>50</v>
      </c>
      <c r="C38" s="23" t="s">
        <v>51</v>
      </c>
      <c r="D38" s="23" t="s">
        <v>52</v>
      </c>
      <c r="E38" s="23" t="s">
        <v>53</v>
      </c>
      <c r="F38" s="23" t="s">
        <v>54</v>
      </c>
    </row>
    <row r="39" spans="2:17" x14ac:dyDescent="0.25">
      <c r="B39" s="24">
        <v>1</v>
      </c>
      <c r="C39" s="22"/>
      <c r="D39" s="22"/>
      <c r="E39" s="22"/>
      <c r="F39" s="22"/>
      <c r="Q39">
        <f>IF(AND($E39="",COUNTA($C39:$D39,$F39)&gt;0),1,0)</f>
      </c>
    </row>
    <row r="40" spans="2:17" x14ac:dyDescent="0.25">
      <c r="B40" s="24">
        <v>2</v>
      </c>
      <c r="C40" s="22"/>
      <c r="D40" s="22"/>
      <c r="E40" s="22"/>
      <c r="F40" s="22"/>
      <c r="Q40">
        <f>IF(AND($E40="",COUNTA($C40:$D40,$F40)&gt;0),1,0)</f>
      </c>
    </row>
    <row r="41" spans="2:17" x14ac:dyDescent="0.25">
      <c r="B41" s="24">
        <v>3</v>
      </c>
      <c r="C41" s="22"/>
      <c r="D41" s="22"/>
      <c r="E41" s="22"/>
      <c r="F41" s="22"/>
      <c r="Q41">
        <f>IF(AND($E41="",COUNTA($C41:$D41,$F41)&gt;0),1,0)</f>
      </c>
    </row>
    <row r="42" spans="2:17" x14ac:dyDescent="0.25">
      <c r="B42" s="24">
        <v>4</v>
      </c>
      <c r="C42" s="22"/>
      <c r="D42" s="22"/>
      <c r="E42" s="22"/>
      <c r="F42" s="22"/>
      <c r="Q42">
        <f>IF(AND($E42="",COUNTA($C42:$D42,$F42)&gt;0),1,0)</f>
      </c>
    </row>
    <row r="43" spans="2:17" x14ac:dyDescent="0.25">
      <c r="B43" s="24">
        <v>5</v>
      </c>
      <c r="C43" s="22"/>
      <c r="D43" s="22"/>
      <c r="E43" s="22"/>
      <c r="F43" s="22"/>
      <c r="Q43">
        <f>IF(AND($E43="",COUNTA($C43:$D43,$F43)&gt;0),1,0)</f>
      </c>
    </row>
    <row r="44" spans="2:17" x14ac:dyDescent="0.25">
      <c r="B44" s="24">
        <v>6</v>
      </c>
      <c r="C44" s="22"/>
      <c r="D44" s="22"/>
      <c r="E44" s="22"/>
      <c r="F44" s="22"/>
      <c r="Q44">
        <f>IF(AND($E44="",COUNTA($C44:$D44,$F44)&gt;0),1,0)</f>
      </c>
    </row>
    <row r="45" spans="2:17" x14ac:dyDescent="0.25">
      <c r="B45" s="24">
        <v>7</v>
      </c>
      <c r="C45" s="22"/>
      <c r="D45" s="22"/>
      <c r="E45" s="22"/>
      <c r="F45" s="22"/>
      <c r="Q45">
        <f>IF(AND($E45="",COUNTA($C45:$D45,$F45)&gt;0),1,0)</f>
      </c>
    </row>
    <row r="46" spans="2:17" x14ac:dyDescent="0.25">
      <c r="B46" s="24">
        <v>8</v>
      </c>
      <c r="C46" s="22"/>
      <c r="D46" s="22"/>
      <c r="E46" s="22"/>
      <c r="F46" s="22"/>
      <c r="Q46">
        <f>IF(AND($E46="",COUNTA($C46:$D46,$F46)&gt;0),1,0)</f>
      </c>
    </row>
    <row r="48" spans="2:6" x14ac:dyDescent="0.25">
      <c r="B48" s="18" t="s">
        <v>44</v>
      </c>
      <c r="C48" s="19"/>
      <c r="D48" s="19"/>
      <c r="E48" s="5"/>
      <c r="F48" s="5"/>
    </row>
    <row r="49" ht="24" customHeight="1" spans="2:16" x14ac:dyDescent="0.25">
      <c r="B49" s="20" t="s">
        <v>57</v>
      </c>
      <c r="C49" s="21"/>
      <c r="D49" s="21"/>
      <c r="E49" s="21"/>
      <c r="F49" s="21"/>
      <c r="G49" s="4">
        <f>IFERROR(IF(AND($C$49="",$C$50=""),IF(COUNTA($C$48:$F$48,$E$51,$C$53:$F$60)+COUNTA($E$50,$C$51)&gt;0,"⚠ Pick an exercise for this card",""),IF(AND($C$49&lt;&gt;"",$C$50&lt;&gt;""),"⚠ Use the library OR a custom exercise, not both",IF(AND($C$50&lt;&gt;"",$E$50=""),"⚠ Pick a muscle group for the custom exercise",IF(COUNT($E$53:$E$60)=0,"⚠ Enter Goal Reps for at least one set",IF(SUM($Q$53:$Q$60)&gt;0,"⚠ A set is missing Goal Reps",IF(IF($C$51="",1=0,COUNTIF($P$7:$P$214,$C$51)&lt;2),"⚠ Superset "&amp;$C$51&amp;" needs 2+ exercises",IF($C$49&lt;&gt;"",IFERROR("✓ "&amp;INDEX('Exercise Library'!$C$2:$C$319,MATCH($C$49,'Exercise Library'!$B$2:$B$319,0))&amp;IF(INDEX('Exercise Library'!$D$2:$D$319,MATCH($C$49,'Exercise Library'!$B$2:$B$319,0))="Yes"," · demo video","")&amp;" · "&amp;COUNT($E$53:$E$60)&amp;" sets","⚠ Not in the library — use Custom"),"✓ Custom ("&amp;$E$50&amp;") · "&amp;COUNT($E$53:$E$60)&amp;" sets"))))))),"⚠ Check this row")</f>
      </c>
      <c r="P49">
        <f>IF(OR($C$49&lt;&gt;"",$C$50&lt;&gt;""),$C$51,"")</f>
      </c>
    </row>
    <row r="50" spans="2:6" x14ac:dyDescent="0.25">
      <c r="B50" s="18" t="s">
        <v>46</v>
      </c>
      <c r="C50" s="5"/>
      <c r="D50" s="5"/>
      <c r="E50" s="5"/>
      <c r="F50" s="18" t="s">
        <v>47</v>
      </c>
    </row>
    <row r="51" ht="22" customHeight="1" spans="2:6" x14ac:dyDescent="0.25">
      <c r="B51" s="18" t="s">
        <v>48</v>
      </c>
      <c r="C51" s="22"/>
      <c r="D51" s="18" t="s">
        <v>49</v>
      </c>
      <c r="E51" s="5"/>
      <c r="F51" s="5"/>
    </row>
    <row r="52" spans="2:6" x14ac:dyDescent="0.25">
      <c r="B52" s="23" t="s">
        <v>50</v>
      </c>
      <c r="C52" s="23" t="s">
        <v>51</v>
      </c>
      <c r="D52" s="23" t="s">
        <v>52</v>
      </c>
      <c r="E52" s="23" t="s">
        <v>53</v>
      </c>
      <c r="F52" s="23" t="s">
        <v>54</v>
      </c>
    </row>
    <row r="53" spans="2:17" x14ac:dyDescent="0.25">
      <c r="B53" s="24">
        <v>1</v>
      </c>
      <c r="C53" s="22"/>
      <c r="D53" s="22"/>
      <c r="E53" s="22"/>
      <c r="F53" s="22"/>
      <c r="Q53">
        <f>IF(AND($E53="",COUNTA($C53:$D53,$F53)&gt;0),1,0)</f>
      </c>
    </row>
    <row r="54" spans="2:17" x14ac:dyDescent="0.25">
      <c r="B54" s="24">
        <v>2</v>
      </c>
      <c r="C54" s="22"/>
      <c r="D54" s="22"/>
      <c r="E54" s="22"/>
      <c r="F54" s="22"/>
      <c r="Q54">
        <f>IF(AND($E54="",COUNTA($C54:$D54,$F54)&gt;0),1,0)</f>
      </c>
    </row>
    <row r="55" spans="2:17" x14ac:dyDescent="0.25">
      <c r="B55" s="24">
        <v>3</v>
      </c>
      <c r="C55" s="22"/>
      <c r="D55" s="22"/>
      <c r="E55" s="22"/>
      <c r="F55" s="22"/>
      <c r="Q55">
        <f>IF(AND($E55="",COUNTA($C55:$D55,$F55)&gt;0),1,0)</f>
      </c>
    </row>
    <row r="56" spans="2:17" x14ac:dyDescent="0.25">
      <c r="B56" s="24">
        <v>4</v>
      </c>
      <c r="C56" s="22"/>
      <c r="D56" s="22"/>
      <c r="E56" s="22"/>
      <c r="F56" s="22"/>
      <c r="Q56">
        <f>IF(AND($E56="",COUNTA($C56:$D56,$F56)&gt;0),1,0)</f>
      </c>
    </row>
    <row r="57" spans="2:17" x14ac:dyDescent="0.25">
      <c r="B57" s="24">
        <v>5</v>
      </c>
      <c r="C57" s="22"/>
      <c r="D57" s="22"/>
      <c r="E57" s="22"/>
      <c r="F57" s="22"/>
      <c r="Q57">
        <f>IF(AND($E57="",COUNTA($C57:$D57,$F57)&gt;0),1,0)</f>
      </c>
    </row>
    <row r="58" spans="2:17" x14ac:dyDescent="0.25">
      <c r="B58" s="24">
        <v>6</v>
      </c>
      <c r="C58" s="22"/>
      <c r="D58" s="22"/>
      <c r="E58" s="22"/>
      <c r="F58" s="22"/>
      <c r="Q58">
        <f>IF(AND($E58="",COUNTA($C58:$D58,$F58)&gt;0),1,0)</f>
      </c>
    </row>
    <row r="59" spans="2:17" x14ac:dyDescent="0.25">
      <c r="B59" s="24">
        <v>7</v>
      </c>
      <c r="C59" s="22"/>
      <c r="D59" s="22"/>
      <c r="E59" s="22"/>
      <c r="F59" s="22"/>
      <c r="Q59">
        <f>IF(AND($E59="",COUNTA($C59:$D59,$F59)&gt;0),1,0)</f>
      </c>
    </row>
    <row r="60" spans="2:17" x14ac:dyDescent="0.25">
      <c r="B60" s="24">
        <v>8</v>
      </c>
      <c r="C60" s="22"/>
      <c r="D60" s="22"/>
      <c r="E60" s="22"/>
      <c r="F60" s="22"/>
      <c r="Q60">
        <f>IF(AND($E60="",COUNTA($C60:$D60,$F60)&gt;0),1,0)</f>
      </c>
    </row>
    <row r="62" spans="2:6" x14ac:dyDescent="0.25">
      <c r="B62" s="18" t="s">
        <v>44</v>
      </c>
      <c r="C62" s="19"/>
      <c r="D62" s="19"/>
      <c r="E62" s="5"/>
      <c r="F62" s="5"/>
    </row>
    <row r="63" ht="24" customHeight="1" spans="2:16" x14ac:dyDescent="0.25">
      <c r="B63" s="20" t="s">
        <v>58</v>
      </c>
      <c r="C63" s="21"/>
      <c r="D63" s="21"/>
      <c r="E63" s="21"/>
      <c r="F63" s="21"/>
      <c r="G63" s="4">
        <f>IFERROR(IF(AND($C$63="",$C$64=""),IF(COUNTA($C$62:$F$62,$E$65,$C$67:$F$74)+COUNTA($E$64,$C$65)&gt;0,"⚠ Pick an exercise for this card",""),IF(AND($C$63&lt;&gt;"",$C$64&lt;&gt;""),"⚠ Use the library OR a custom exercise, not both",IF(AND($C$64&lt;&gt;"",$E$64=""),"⚠ Pick a muscle group for the custom exercise",IF(COUNT($E$67:$E$74)=0,"⚠ Enter Goal Reps for at least one set",IF(SUM($Q$67:$Q$74)&gt;0,"⚠ A set is missing Goal Reps",IF(IF($C$65="",1=0,COUNTIF($P$7:$P$214,$C$65)&lt;2),"⚠ Superset "&amp;$C$65&amp;" needs 2+ exercises",IF($C$63&lt;&gt;"",IFERROR("✓ "&amp;INDEX('Exercise Library'!$C$2:$C$319,MATCH($C$63,'Exercise Library'!$B$2:$B$319,0))&amp;IF(INDEX('Exercise Library'!$D$2:$D$319,MATCH($C$63,'Exercise Library'!$B$2:$B$319,0))="Yes"," · demo video","")&amp;" · "&amp;COUNT($E$67:$E$74)&amp;" sets","⚠ Not in the library — use Custom"),"✓ Custom ("&amp;$E$64&amp;") · "&amp;COUNT($E$67:$E$74)&amp;" sets"))))))),"⚠ Check this row")</f>
      </c>
      <c r="P63">
        <f>IF(OR($C$63&lt;&gt;"",$C$64&lt;&gt;""),$C$65,"")</f>
      </c>
    </row>
    <row r="64" spans="2:6" x14ac:dyDescent="0.25">
      <c r="B64" s="18" t="s">
        <v>46</v>
      </c>
      <c r="C64" s="5"/>
      <c r="D64" s="5"/>
      <c r="E64" s="5"/>
      <c r="F64" s="18" t="s">
        <v>47</v>
      </c>
    </row>
    <row r="65" ht="22" customHeight="1" spans="2:6" x14ac:dyDescent="0.25">
      <c r="B65" s="18" t="s">
        <v>48</v>
      </c>
      <c r="C65" s="22"/>
      <c r="D65" s="18" t="s">
        <v>49</v>
      </c>
      <c r="E65" s="5"/>
      <c r="F65" s="5"/>
    </row>
    <row r="66" spans="2:6" x14ac:dyDescent="0.25">
      <c r="B66" s="23" t="s">
        <v>50</v>
      </c>
      <c r="C66" s="23" t="s">
        <v>51</v>
      </c>
      <c r="D66" s="23" t="s">
        <v>52</v>
      </c>
      <c r="E66" s="23" t="s">
        <v>53</v>
      </c>
      <c r="F66" s="23" t="s">
        <v>54</v>
      </c>
    </row>
    <row r="67" spans="2:17" x14ac:dyDescent="0.25">
      <c r="B67" s="24">
        <v>1</v>
      </c>
      <c r="C67" s="22"/>
      <c r="D67" s="22"/>
      <c r="E67" s="22"/>
      <c r="F67" s="22"/>
      <c r="Q67">
        <f>IF(AND($E67="",COUNTA($C67:$D67,$F67)&gt;0),1,0)</f>
      </c>
    </row>
    <row r="68" spans="2:17" x14ac:dyDescent="0.25">
      <c r="B68" s="24">
        <v>2</v>
      </c>
      <c r="C68" s="22"/>
      <c r="D68" s="22"/>
      <c r="E68" s="22"/>
      <c r="F68" s="22"/>
      <c r="Q68">
        <f>IF(AND($E68="",COUNTA($C68:$D68,$F68)&gt;0),1,0)</f>
      </c>
    </row>
    <row r="69" spans="2:17" x14ac:dyDescent="0.25">
      <c r="B69" s="24">
        <v>3</v>
      </c>
      <c r="C69" s="22"/>
      <c r="D69" s="22"/>
      <c r="E69" s="22"/>
      <c r="F69" s="22"/>
      <c r="Q69">
        <f>IF(AND($E69="",COUNTA($C69:$D69,$F69)&gt;0),1,0)</f>
      </c>
    </row>
    <row r="70" spans="2:17" x14ac:dyDescent="0.25">
      <c r="B70" s="24">
        <v>4</v>
      </c>
      <c r="C70" s="22"/>
      <c r="D70" s="22"/>
      <c r="E70" s="22"/>
      <c r="F70" s="22"/>
      <c r="Q70">
        <f>IF(AND($E70="",COUNTA($C70:$D70,$F70)&gt;0),1,0)</f>
      </c>
    </row>
    <row r="71" spans="2:17" x14ac:dyDescent="0.25">
      <c r="B71" s="24">
        <v>5</v>
      </c>
      <c r="C71" s="22"/>
      <c r="D71" s="22"/>
      <c r="E71" s="22"/>
      <c r="F71" s="22"/>
      <c r="Q71">
        <f>IF(AND($E71="",COUNTA($C71:$D71,$F71)&gt;0),1,0)</f>
      </c>
    </row>
    <row r="72" spans="2:17" x14ac:dyDescent="0.25">
      <c r="B72" s="24">
        <v>6</v>
      </c>
      <c r="C72" s="22"/>
      <c r="D72" s="22"/>
      <c r="E72" s="22"/>
      <c r="F72" s="22"/>
      <c r="Q72">
        <f>IF(AND($E72="",COUNTA($C72:$D72,$F72)&gt;0),1,0)</f>
      </c>
    </row>
    <row r="73" spans="2:17" x14ac:dyDescent="0.25">
      <c r="B73" s="24">
        <v>7</v>
      </c>
      <c r="C73" s="22"/>
      <c r="D73" s="22"/>
      <c r="E73" s="22"/>
      <c r="F73" s="22"/>
      <c r="Q73">
        <f>IF(AND($E73="",COUNTA($C73:$D73,$F73)&gt;0),1,0)</f>
      </c>
    </row>
    <row r="74" spans="2:17" x14ac:dyDescent="0.25">
      <c r="B74" s="24">
        <v>8</v>
      </c>
      <c r="C74" s="22"/>
      <c r="D74" s="22"/>
      <c r="E74" s="22"/>
      <c r="F74" s="22"/>
      <c r="Q74">
        <f>IF(AND($E74="",COUNTA($C74:$D74,$F74)&gt;0),1,0)</f>
      </c>
    </row>
    <row r="76" spans="2:6" x14ac:dyDescent="0.25">
      <c r="B76" s="18" t="s">
        <v>44</v>
      </c>
      <c r="C76" s="19"/>
      <c r="D76" s="19"/>
      <c r="E76" s="5"/>
      <c r="F76" s="5"/>
    </row>
    <row r="77" ht="24" customHeight="1" spans="2:16" x14ac:dyDescent="0.25">
      <c r="B77" s="20" t="s">
        <v>59</v>
      </c>
      <c r="C77" s="21"/>
      <c r="D77" s="21"/>
      <c r="E77" s="21"/>
      <c r="F77" s="21"/>
      <c r="G77" s="4">
        <f>IFERROR(IF(AND($C$77="",$C$78=""),IF(COUNTA($C$76:$F$76,$E$79,$C$81:$F$88)+COUNTA($E$78,$C$79)&gt;0,"⚠ Pick an exercise for this card",""),IF(AND($C$77&lt;&gt;"",$C$78&lt;&gt;""),"⚠ Use the library OR a custom exercise, not both",IF(AND($C$78&lt;&gt;"",$E$78=""),"⚠ Pick a muscle group for the custom exercise",IF(COUNT($E$81:$E$88)=0,"⚠ Enter Goal Reps for at least one set",IF(SUM($Q$81:$Q$88)&gt;0,"⚠ A set is missing Goal Reps",IF(IF($C$79="",1=0,COUNTIF($P$7:$P$214,$C$79)&lt;2),"⚠ Superset "&amp;$C$79&amp;" needs 2+ exercises",IF($C$77&lt;&gt;"",IFERROR("✓ "&amp;INDEX('Exercise Library'!$C$2:$C$319,MATCH($C$77,'Exercise Library'!$B$2:$B$319,0))&amp;IF(INDEX('Exercise Library'!$D$2:$D$319,MATCH($C$77,'Exercise Library'!$B$2:$B$319,0))="Yes"," · demo video","")&amp;" · "&amp;COUNT($E$81:$E$88)&amp;" sets","⚠ Not in the library — use Custom"),"✓ Custom ("&amp;$E$78&amp;") · "&amp;COUNT($E$81:$E$88)&amp;" sets"))))))),"⚠ Check this row")</f>
      </c>
      <c r="P77">
        <f>IF(OR($C$77&lt;&gt;"",$C$78&lt;&gt;""),$C$79,"")</f>
      </c>
    </row>
    <row r="78" spans="2:6" x14ac:dyDescent="0.25">
      <c r="B78" s="18" t="s">
        <v>46</v>
      </c>
      <c r="C78" s="5"/>
      <c r="D78" s="5"/>
      <c r="E78" s="5"/>
      <c r="F78" s="18" t="s">
        <v>47</v>
      </c>
    </row>
    <row r="79" ht="22" customHeight="1" spans="2:6" x14ac:dyDescent="0.25">
      <c r="B79" s="18" t="s">
        <v>48</v>
      </c>
      <c r="C79" s="22"/>
      <c r="D79" s="18" t="s">
        <v>49</v>
      </c>
      <c r="E79" s="5"/>
      <c r="F79" s="5"/>
    </row>
    <row r="80" spans="2:6" x14ac:dyDescent="0.25">
      <c r="B80" s="23" t="s">
        <v>50</v>
      </c>
      <c r="C80" s="23" t="s">
        <v>51</v>
      </c>
      <c r="D80" s="23" t="s">
        <v>52</v>
      </c>
      <c r="E80" s="23" t="s">
        <v>53</v>
      </c>
      <c r="F80" s="23" t="s">
        <v>54</v>
      </c>
    </row>
    <row r="81" spans="2:17" x14ac:dyDescent="0.25">
      <c r="B81" s="24">
        <v>1</v>
      </c>
      <c r="C81" s="22"/>
      <c r="D81" s="22"/>
      <c r="E81" s="22"/>
      <c r="F81" s="22"/>
      <c r="Q81">
        <f>IF(AND($E81="",COUNTA($C81:$D81,$F81)&gt;0),1,0)</f>
      </c>
    </row>
    <row r="82" spans="2:17" x14ac:dyDescent="0.25">
      <c r="B82" s="24">
        <v>2</v>
      </c>
      <c r="C82" s="22"/>
      <c r="D82" s="22"/>
      <c r="E82" s="22"/>
      <c r="F82" s="22"/>
      <c r="Q82">
        <f>IF(AND($E82="",COUNTA($C82:$D82,$F82)&gt;0),1,0)</f>
      </c>
    </row>
    <row r="83" spans="2:17" x14ac:dyDescent="0.25">
      <c r="B83" s="24">
        <v>3</v>
      </c>
      <c r="C83" s="22"/>
      <c r="D83" s="22"/>
      <c r="E83" s="22"/>
      <c r="F83" s="22"/>
      <c r="Q83">
        <f>IF(AND($E83="",COUNTA($C83:$D83,$F83)&gt;0),1,0)</f>
      </c>
    </row>
    <row r="84" spans="2:17" x14ac:dyDescent="0.25">
      <c r="B84" s="24">
        <v>4</v>
      </c>
      <c r="C84" s="22"/>
      <c r="D84" s="22"/>
      <c r="E84" s="22"/>
      <c r="F84" s="22"/>
      <c r="Q84">
        <f>IF(AND($E84="",COUNTA($C84:$D84,$F84)&gt;0),1,0)</f>
      </c>
    </row>
    <row r="85" spans="2:17" x14ac:dyDescent="0.25">
      <c r="B85" s="24">
        <v>5</v>
      </c>
      <c r="C85" s="22"/>
      <c r="D85" s="22"/>
      <c r="E85" s="22"/>
      <c r="F85" s="22"/>
      <c r="Q85">
        <f>IF(AND($E85="",COUNTA($C85:$D85,$F85)&gt;0),1,0)</f>
      </c>
    </row>
    <row r="86" spans="2:17" x14ac:dyDescent="0.25">
      <c r="B86" s="24">
        <v>6</v>
      </c>
      <c r="C86" s="22"/>
      <c r="D86" s="22"/>
      <c r="E86" s="22"/>
      <c r="F86" s="22"/>
      <c r="Q86">
        <f>IF(AND($E86="",COUNTA($C86:$D86,$F86)&gt;0),1,0)</f>
      </c>
    </row>
    <row r="87" spans="2:17" x14ac:dyDescent="0.25">
      <c r="B87" s="24">
        <v>7</v>
      </c>
      <c r="C87" s="22"/>
      <c r="D87" s="22"/>
      <c r="E87" s="22"/>
      <c r="F87" s="22"/>
      <c r="Q87">
        <f>IF(AND($E87="",COUNTA($C87:$D87,$F87)&gt;0),1,0)</f>
      </c>
    </row>
    <row r="88" spans="2:17" x14ac:dyDescent="0.25">
      <c r="B88" s="24">
        <v>8</v>
      </c>
      <c r="C88" s="22"/>
      <c r="D88" s="22"/>
      <c r="E88" s="22"/>
      <c r="F88" s="22"/>
      <c r="Q88">
        <f>IF(AND($E88="",COUNTA($C88:$D88,$F88)&gt;0),1,0)</f>
      </c>
    </row>
    <row r="90" spans="2:6" x14ac:dyDescent="0.25">
      <c r="B90" s="18" t="s">
        <v>44</v>
      </c>
      <c r="C90" s="19"/>
      <c r="D90" s="19"/>
      <c r="E90" s="5"/>
      <c r="F90" s="5"/>
    </row>
    <row r="91" ht="24" customHeight="1" spans="2:16" x14ac:dyDescent="0.25">
      <c r="B91" s="20" t="s">
        <v>60</v>
      </c>
      <c r="C91" s="21"/>
      <c r="D91" s="21"/>
      <c r="E91" s="21"/>
      <c r="F91" s="21"/>
      <c r="G91" s="4">
        <f>IFERROR(IF(AND($C$91="",$C$92=""),IF(COUNTA($C$90:$F$90,$E$93,$C$95:$F$102)+COUNTA($E$92,$C$93)&gt;0,"⚠ Pick an exercise for this card",""),IF(AND($C$91&lt;&gt;"",$C$92&lt;&gt;""),"⚠ Use the library OR a custom exercise, not both",IF(AND($C$92&lt;&gt;"",$E$92=""),"⚠ Pick a muscle group for the custom exercise",IF(COUNT($E$95:$E$102)=0,"⚠ Enter Goal Reps for at least one set",IF(SUM($Q$95:$Q$102)&gt;0,"⚠ A set is missing Goal Reps",IF(IF($C$93="",1=0,COUNTIF($P$7:$P$214,$C$93)&lt;2),"⚠ Superset "&amp;$C$93&amp;" needs 2+ exercises",IF($C$91&lt;&gt;"",IFERROR("✓ "&amp;INDEX('Exercise Library'!$C$2:$C$319,MATCH($C$91,'Exercise Library'!$B$2:$B$319,0))&amp;IF(INDEX('Exercise Library'!$D$2:$D$319,MATCH($C$91,'Exercise Library'!$B$2:$B$319,0))="Yes"," · demo video","")&amp;" · "&amp;COUNT($E$95:$E$102)&amp;" sets","⚠ Not in the library — use Custom"),"✓ Custom ("&amp;$E$92&amp;") · "&amp;COUNT($E$95:$E$102)&amp;" sets"))))))),"⚠ Check this row")</f>
      </c>
      <c r="P91">
        <f>IF(OR($C$91&lt;&gt;"",$C$92&lt;&gt;""),$C$93,"")</f>
      </c>
    </row>
    <row r="92" spans="2:6" x14ac:dyDescent="0.25">
      <c r="B92" s="18" t="s">
        <v>46</v>
      </c>
      <c r="C92" s="5"/>
      <c r="D92" s="5"/>
      <c r="E92" s="5"/>
      <c r="F92" s="18" t="s">
        <v>47</v>
      </c>
    </row>
    <row r="93" ht="22" customHeight="1" spans="2:6" x14ac:dyDescent="0.25">
      <c r="B93" s="18" t="s">
        <v>48</v>
      </c>
      <c r="C93" s="22"/>
      <c r="D93" s="18" t="s">
        <v>49</v>
      </c>
      <c r="E93" s="5"/>
      <c r="F93" s="5"/>
    </row>
    <row r="94" spans="2:6" x14ac:dyDescent="0.25">
      <c r="B94" s="23" t="s">
        <v>50</v>
      </c>
      <c r="C94" s="23" t="s">
        <v>51</v>
      </c>
      <c r="D94" s="23" t="s">
        <v>52</v>
      </c>
      <c r="E94" s="23" t="s">
        <v>53</v>
      </c>
      <c r="F94" s="23" t="s">
        <v>54</v>
      </c>
    </row>
    <row r="95" spans="2:17" x14ac:dyDescent="0.25">
      <c r="B95" s="24">
        <v>1</v>
      </c>
      <c r="C95" s="22"/>
      <c r="D95" s="22"/>
      <c r="E95" s="22"/>
      <c r="F95" s="22"/>
      <c r="Q95">
        <f>IF(AND($E95="",COUNTA($C95:$D95,$F95)&gt;0),1,0)</f>
      </c>
    </row>
    <row r="96" spans="2:17" x14ac:dyDescent="0.25">
      <c r="B96" s="24">
        <v>2</v>
      </c>
      <c r="C96" s="22"/>
      <c r="D96" s="22"/>
      <c r="E96" s="22"/>
      <c r="F96" s="22"/>
      <c r="Q96">
        <f>IF(AND($E96="",COUNTA($C96:$D96,$F96)&gt;0),1,0)</f>
      </c>
    </row>
    <row r="97" spans="2:17" x14ac:dyDescent="0.25">
      <c r="B97" s="24">
        <v>3</v>
      </c>
      <c r="C97" s="22"/>
      <c r="D97" s="22"/>
      <c r="E97" s="22"/>
      <c r="F97" s="22"/>
      <c r="Q97">
        <f>IF(AND($E97="",COUNTA($C97:$D97,$F97)&gt;0),1,0)</f>
      </c>
    </row>
    <row r="98" spans="2:17" x14ac:dyDescent="0.25">
      <c r="B98" s="24">
        <v>4</v>
      </c>
      <c r="C98" s="22"/>
      <c r="D98" s="22"/>
      <c r="E98" s="22"/>
      <c r="F98" s="22"/>
      <c r="Q98">
        <f>IF(AND($E98="",COUNTA($C98:$D98,$F98)&gt;0),1,0)</f>
      </c>
    </row>
    <row r="99" spans="2:17" x14ac:dyDescent="0.25">
      <c r="B99" s="24">
        <v>5</v>
      </c>
      <c r="C99" s="22"/>
      <c r="D99" s="22"/>
      <c r="E99" s="22"/>
      <c r="F99" s="22"/>
      <c r="Q99">
        <f>IF(AND($E99="",COUNTA($C99:$D99,$F99)&gt;0),1,0)</f>
      </c>
    </row>
    <row r="100" spans="2:17" x14ac:dyDescent="0.25">
      <c r="B100" s="24">
        <v>6</v>
      </c>
      <c r="C100" s="22"/>
      <c r="D100" s="22"/>
      <c r="E100" s="22"/>
      <c r="F100" s="22"/>
      <c r="Q100">
        <f>IF(AND($E100="",COUNTA($C100:$D100,$F100)&gt;0),1,0)</f>
      </c>
    </row>
    <row r="101" spans="2:17" x14ac:dyDescent="0.25">
      <c r="B101" s="24">
        <v>7</v>
      </c>
      <c r="C101" s="22"/>
      <c r="D101" s="22"/>
      <c r="E101" s="22"/>
      <c r="F101" s="22"/>
      <c r="Q101">
        <f>IF(AND($E101="",COUNTA($C101:$D101,$F101)&gt;0),1,0)</f>
      </c>
    </row>
    <row r="102" spans="2:17" x14ac:dyDescent="0.25">
      <c r="B102" s="24">
        <v>8</v>
      </c>
      <c r="C102" s="22"/>
      <c r="D102" s="22"/>
      <c r="E102" s="22"/>
      <c r="F102" s="22"/>
      <c r="Q102">
        <f>IF(AND($E102="",COUNTA($C102:$D102,$F102)&gt;0),1,0)</f>
      </c>
    </row>
    <row r="104" spans="2:6" x14ac:dyDescent="0.25">
      <c r="B104" s="18" t="s">
        <v>44</v>
      </c>
      <c r="C104" s="19"/>
      <c r="D104" s="19"/>
      <c r="E104" s="5"/>
      <c r="F104" s="5"/>
    </row>
    <row r="105" ht="24" customHeight="1" spans="2:16" x14ac:dyDescent="0.25">
      <c r="B105" s="20" t="s">
        <v>61</v>
      </c>
      <c r="C105" s="21"/>
      <c r="D105" s="21"/>
      <c r="E105" s="21"/>
      <c r="F105" s="21"/>
      <c r="G105" s="4">
        <f>IFERROR(IF(AND($C$105="",$C$106=""),IF(COUNTA($C$104:$F$104,$E$107,$C$109:$F$116)+COUNTA($E$106,$C$107)&gt;0,"⚠ Pick an exercise for this card",""),IF(AND($C$105&lt;&gt;"",$C$106&lt;&gt;""),"⚠ Use the library OR a custom exercise, not both",IF(AND($C$106&lt;&gt;"",$E$106=""),"⚠ Pick a muscle group for the custom exercise",IF(COUNT($E$109:$E$116)=0,"⚠ Enter Goal Reps for at least one set",IF(SUM($Q$109:$Q$116)&gt;0,"⚠ A set is missing Goal Reps",IF(IF($C$107="",1=0,COUNTIF($P$7:$P$214,$C$107)&lt;2),"⚠ Superset "&amp;$C$107&amp;" needs 2+ exercises",IF($C$105&lt;&gt;"",IFERROR("✓ "&amp;INDEX('Exercise Library'!$C$2:$C$319,MATCH($C$105,'Exercise Library'!$B$2:$B$319,0))&amp;IF(INDEX('Exercise Library'!$D$2:$D$319,MATCH($C$105,'Exercise Library'!$B$2:$B$319,0))="Yes"," · demo video","")&amp;" · "&amp;COUNT($E$109:$E$116)&amp;" sets","⚠ Not in the library — use Custom"),"✓ Custom ("&amp;$E$106&amp;") · "&amp;COUNT($E$109:$E$116)&amp;" sets"))))))),"⚠ Check this row")</f>
      </c>
      <c r="P105">
        <f>IF(OR($C$105&lt;&gt;"",$C$106&lt;&gt;""),$C$107,"")</f>
      </c>
    </row>
    <row r="106" spans="2:6" x14ac:dyDescent="0.25">
      <c r="B106" s="18" t="s">
        <v>46</v>
      </c>
      <c r="C106" s="5"/>
      <c r="D106" s="5"/>
      <c r="E106" s="5"/>
      <c r="F106" s="18" t="s">
        <v>47</v>
      </c>
    </row>
    <row r="107" ht="22" customHeight="1" spans="2:6" x14ac:dyDescent="0.25">
      <c r="B107" s="18" t="s">
        <v>48</v>
      </c>
      <c r="C107" s="22"/>
      <c r="D107" s="18" t="s">
        <v>49</v>
      </c>
      <c r="E107" s="5"/>
      <c r="F107" s="5"/>
    </row>
    <row r="108" spans="2:6" x14ac:dyDescent="0.25">
      <c r="B108" s="23" t="s">
        <v>50</v>
      </c>
      <c r="C108" s="23" t="s">
        <v>51</v>
      </c>
      <c r="D108" s="23" t="s">
        <v>52</v>
      </c>
      <c r="E108" s="23" t="s">
        <v>53</v>
      </c>
      <c r="F108" s="23" t="s">
        <v>54</v>
      </c>
    </row>
    <row r="109" spans="2:17" x14ac:dyDescent="0.25">
      <c r="B109" s="24">
        <v>1</v>
      </c>
      <c r="C109" s="22"/>
      <c r="D109" s="22"/>
      <c r="E109" s="22"/>
      <c r="F109" s="22"/>
      <c r="Q109">
        <f>IF(AND($E109="",COUNTA($C109:$D109,$F109)&gt;0),1,0)</f>
      </c>
    </row>
    <row r="110" spans="2:17" x14ac:dyDescent="0.25">
      <c r="B110" s="24">
        <v>2</v>
      </c>
      <c r="C110" s="22"/>
      <c r="D110" s="22"/>
      <c r="E110" s="22"/>
      <c r="F110" s="22"/>
      <c r="Q110">
        <f>IF(AND($E110="",COUNTA($C110:$D110,$F110)&gt;0),1,0)</f>
      </c>
    </row>
    <row r="111" spans="2:17" x14ac:dyDescent="0.25">
      <c r="B111" s="24">
        <v>3</v>
      </c>
      <c r="C111" s="22"/>
      <c r="D111" s="22"/>
      <c r="E111" s="22"/>
      <c r="F111" s="22"/>
      <c r="Q111">
        <f>IF(AND($E111="",COUNTA($C111:$D111,$F111)&gt;0),1,0)</f>
      </c>
    </row>
    <row r="112" spans="2:17" x14ac:dyDescent="0.25">
      <c r="B112" s="24">
        <v>4</v>
      </c>
      <c r="C112" s="22"/>
      <c r="D112" s="22"/>
      <c r="E112" s="22"/>
      <c r="F112" s="22"/>
      <c r="Q112">
        <f>IF(AND($E112="",COUNTA($C112:$D112,$F112)&gt;0),1,0)</f>
      </c>
    </row>
    <row r="113" spans="2:17" x14ac:dyDescent="0.25">
      <c r="B113" s="24">
        <v>5</v>
      </c>
      <c r="C113" s="22"/>
      <c r="D113" s="22"/>
      <c r="E113" s="22"/>
      <c r="F113" s="22"/>
      <c r="Q113">
        <f>IF(AND($E113="",COUNTA($C113:$D113,$F113)&gt;0),1,0)</f>
      </c>
    </row>
    <row r="114" spans="2:17" x14ac:dyDescent="0.25">
      <c r="B114" s="24">
        <v>6</v>
      </c>
      <c r="C114" s="22"/>
      <c r="D114" s="22"/>
      <c r="E114" s="22"/>
      <c r="F114" s="22"/>
      <c r="Q114">
        <f>IF(AND($E114="",COUNTA($C114:$D114,$F114)&gt;0),1,0)</f>
      </c>
    </row>
    <row r="115" spans="2:17" x14ac:dyDescent="0.25">
      <c r="B115" s="24">
        <v>7</v>
      </c>
      <c r="C115" s="22"/>
      <c r="D115" s="22"/>
      <c r="E115" s="22"/>
      <c r="F115" s="22"/>
      <c r="Q115">
        <f>IF(AND($E115="",COUNTA($C115:$D115,$F115)&gt;0),1,0)</f>
      </c>
    </row>
    <row r="116" spans="2:17" x14ac:dyDescent="0.25">
      <c r="B116" s="24">
        <v>8</v>
      </c>
      <c r="C116" s="22"/>
      <c r="D116" s="22"/>
      <c r="E116" s="22"/>
      <c r="F116" s="22"/>
      <c r="Q116">
        <f>IF(AND($E116="",COUNTA($C116:$D116,$F116)&gt;0),1,0)</f>
      </c>
    </row>
    <row r="118" spans="2:6" x14ac:dyDescent="0.25">
      <c r="B118" s="18" t="s">
        <v>44</v>
      </c>
      <c r="C118" s="19"/>
      <c r="D118" s="19"/>
      <c r="E118" s="5"/>
      <c r="F118" s="5"/>
    </row>
    <row r="119" ht="24" customHeight="1" spans="2:16" x14ac:dyDescent="0.25">
      <c r="B119" s="20" t="s">
        <v>62</v>
      </c>
      <c r="C119" s="21"/>
      <c r="D119" s="21"/>
      <c r="E119" s="21"/>
      <c r="F119" s="21"/>
      <c r="G119" s="4">
        <f>IFERROR(IF(AND($C$119="",$C$120=""),IF(COUNTA($C$118:$F$118,$E$121,$C$123:$F$130)+COUNTA($E$120,$C$121)&gt;0,"⚠ Pick an exercise for this card",""),IF(AND($C$119&lt;&gt;"",$C$120&lt;&gt;""),"⚠ Use the library OR a custom exercise, not both",IF(AND($C$120&lt;&gt;"",$E$120=""),"⚠ Pick a muscle group for the custom exercise",IF(COUNT($E$123:$E$130)=0,"⚠ Enter Goal Reps for at least one set",IF(SUM($Q$123:$Q$130)&gt;0,"⚠ A set is missing Goal Reps",IF(IF($C$121="",1=0,COUNTIF($P$7:$P$214,$C$121)&lt;2),"⚠ Superset "&amp;$C$121&amp;" needs 2+ exercises",IF($C$119&lt;&gt;"",IFERROR("✓ "&amp;INDEX('Exercise Library'!$C$2:$C$319,MATCH($C$119,'Exercise Library'!$B$2:$B$319,0))&amp;IF(INDEX('Exercise Library'!$D$2:$D$319,MATCH($C$119,'Exercise Library'!$B$2:$B$319,0))="Yes"," · demo video","")&amp;" · "&amp;COUNT($E$123:$E$130)&amp;" sets","⚠ Not in the library — use Custom"),"✓ Custom ("&amp;$E$120&amp;") · "&amp;COUNT($E$123:$E$130)&amp;" sets"))))))),"⚠ Check this row")</f>
      </c>
      <c r="P119">
        <f>IF(OR($C$119&lt;&gt;"",$C$120&lt;&gt;""),$C$121,"")</f>
      </c>
    </row>
    <row r="120" spans="2:6" x14ac:dyDescent="0.25">
      <c r="B120" s="18" t="s">
        <v>46</v>
      </c>
      <c r="C120" s="5"/>
      <c r="D120" s="5"/>
      <c r="E120" s="5"/>
      <c r="F120" s="18" t="s">
        <v>47</v>
      </c>
    </row>
    <row r="121" ht="22" customHeight="1" spans="2:6" x14ac:dyDescent="0.25">
      <c r="B121" s="18" t="s">
        <v>48</v>
      </c>
      <c r="C121" s="22"/>
      <c r="D121" s="18" t="s">
        <v>49</v>
      </c>
      <c r="E121" s="5"/>
      <c r="F121" s="5"/>
    </row>
    <row r="122" spans="2:6" x14ac:dyDescent="0.25">
      <c r="B122" s="23" t="s">
        <v>50</v>
      </c>
      <c r="C122" s="23" t="s">
        <v>51</v>
      </c>
      <c r="D122" s="23" t="s">
        <v>52</v>
      </c>
      <c r="E122" s="23" t="s">
        <v>53</v>
      </c>
      <c r="F122" s="23" t="s">
        <v>54</v>
      </c>
    </row>
    <row r="123" spans="2:17" x14ac:dyDescent="0.25">
      <c r="B123" s="24">
        <v>1</v>
      </c>
      <c r="C123" s="22"/>
      <c r="D123" s="22"/>
      <c r="E123" s="22"/>
      <c r="F123" s="22"/>
      <c r="Q123">
        <f>IF(AND($E123="",COUNTA($C123:$D123,$F123)&gt;0),1,0)</f>
      </c>
    </row>
    <row r="124" spans="2:17" x14ac:dyDescent="0.25">
      <c r="B124" s="24">
        <v>2</v>
      </c>
      <c r="C124" s="22"/>
      <c r="D124" s="22"/>
      <c r="E124" s="22"/>
      <c r="F124" s="22"/>
      <c r="Q124">
        <f>IF(AND($E124="",COUNTA($C124:$D124,$F124)&gt;0),1,0)</f>
      </c>
    </row>
    <row r="125" spans="2:17" x14ac:dyDescent="0.25">
      <c r="B125" s="24">
        <v>3</v>
      </c>
      <c r="C125" s="22"/>
      <c r="D125" s="22"/>
      <c r="E125" s="22"/>
      <c r="F125" s="22"/>
      <c r="Q125">
        <f>IF(AND($E125="",COUNTA($C125:$D125,$F125)&gt;0),1,0)</f>
      </c>
    </row>
    <row r="126" spans="2:17" x14ac:dyDescent="0.25">
      <c r="B126" s="24">
        <v>4</v>
      </c>
      <c r="C126" s="22"/>
      <c r="D126" s="22"/>
      <c r="E126" s="22"/>
      <c r="F126" s="22"/>
      <c r="Q126">
        <f>IF(AND($E126="",COUNTA($C126:$D126,$F126)&gt;0),1,0)</f>
      </c>
    </row>
    <row r="127" spans="2:17" x14ac:dyDescent="0.25">
      <c r="B127" s="24">
        <v>5</v>
      </c>
      <c r="C127" s="22"/>
      <c r="D127" s="22"/>
      <c r="E127" s="22"/>
      <c r="F127" s="22"/>
      <c r="Q127">
        <f>IF(AND($E127="",COUNTA($C127:$D127,$F127)&gt;0),1,0)</f>
      </c>
    </row>
    <row r="128" spans="2:17" x14ac:dyDescent="0.25">
      <c r="B128" s="24">
        <v>6</v>
      </c>
      <c r="C128" s="22"/>
      <c r="D128" s="22"/>
      <c r="E128" s="22"/>
      <c r="F128" s="22"/>
      <c r="Q128">
        <f>IF(AND($E128="",COUNTA($C128:$D128,$F128)&gt;0),1,0)</f>
      </c>
    </row>
    <row r="129" spans="2:17" x14ac:dyDescent="0.25">
      <c r="B129" s="24">
        <v>7</v>
      </c>
      <c r="C129" s="22"/>
      <c r="D129" s="22"/>
      <c r="E129" s="22"/>
      <c r="F129" s="22"/>
      <c r="Q129">
        <f>IF(AND($E129="",COUNTA($C129:$D129,$F129)&gt;0),1,0)</f>
      </c>
    </row>
    <row r="130" spans="2:17" x14ac:dyDescent="0.25">
      <c r="B130" s="24">
        <v>8</v>
      </c>
      <c r="C130" s="22"/>
      <c r="D130" s="22"/>
      <c r="E130" s="22"/>
      <c r="F130" s="22"/>
      <c r="Q130">
        <f>IF(AND($E130="",COUNTA($C130:$D130,$F130)&gt;0),1,0)</f>
      </c>
    </row>
    <row r="132" spans="2:6" x14ac:dyDescent="0.25">
      <c r="B132" s="18" t="s">
        <v>44</v>
      </c>
      <c r="C132" s="19"/>
      <c r="D132" s="19"/>
      <c r="E132" s="5"/>
      <c r="F132" s="5"/>
    </row>
    <row r="133" ht="24" customHeight="1" spans="2:16" x14ac:dyDescent="0.25">
      <c r="B133" s="20" t="s">
        <v>63</v>
      </c>
      <c r="C133" s="21"/>
      <c r="D133" s="21"/>
      <c r="E133" s="21"/>
      <c r="F133" s="21"/>
      <c r="G133" s="4">
        <f>IFERROR(IF(AND($C$133="",$C$134=""),IF(COUNTA($C$132:$F$132,$E$135,$C$137:$F$144)+COUNTA($E$134,$C$135)&gt;0,"⚠ Pick an exercise for this card",""),IF(AND($C$133&lt;&gt;"",$C$134&lt;&gt;""),"⚠ Use the library OR a custom exercise, not both",IF(AND($C$134&lt;&gt;"",$E$134=""),"⚠ Pick a muscle group for the custom exercise",IF(COUNT($E$137:$E$144)=0,"⚠ Enter Goal Reps for at least one set",IF(SUM($Q$137:$Q$144)&gt;0,"⚠ A set is missing Goal Reps",IF(IF($C$135="",1=0,COUNTIF($P$7:$P$214,$C$135)&lt;2),"⚠ Superset "&amp;$C$135&amp;" needs 2+ exercises",IF($C$133&lt;&gt;"",IFERROR("✓ "&amp;INDEX('Exercise Library'!$C$2:$C$319,MATCH($C$133,'Exercise Library'!$B$2:$B$319,0))&amp;IF(INDEX('Exercise Library'!$D$2:$D$319,MATCH($C$133,'Exercise Library'!$B$2:$B$319,0))="Yes"," · demo video","")&amp;" · "&amp;COUNT($E$137:$E$144)&amp;" sets","⚠ Not in the library — use Custom"),"✓ Custom ("&amp;$E$134&amp;") · "&amp;COUNT($E$137:$E$144)&amp;" sets"))))))),"⚠ Check this row")</f>
      </c>
      <c r="P133">
        <f>IF(OR($C$133&lt;&gt;"",$C$134&lt;&gt;""),$C$135,"")</f>
      </c>
    </row>
    <row r="134" spans="2:6" x14ac:dyDescent="0.25">
      <c r="B134" s="18" t="s">
        <v>46</v>
      </c>
      <c r="C134" s="5"/>
      <c r="D134" s="5"/>
      <c r="E134" s="5"/>
      <c r="F134" s="18" t="s">
        <v>47</v>
      </c>
    </row>
    <row r="135" ht="22" customHeight="1" spans="2:6" x14ac:dyDescent="0.25">
      <c r="B135" s="18" t="s">
        <v>48</v>
      </c>
      <c r="C135" s="22"/>
      <c r="D135" s="18" t="s">
        <v>49</v>
      </c>
      <c r="E135" s="5"/>
      <c r="F135" s="5"/>
    </row>
    <row r="136" spans="2:6" x14ac:dyDescent="0.25">
      <c r="B136" s="23" t="s">
        <v>50</v>
      </c>
      <c r="C136" s="23" t="s">
        <v>51</v>
      </c>
      <c r="D136" s="23" t="s">
        <v>52</v>
      </c>
      <c r="E136" s="23" t="s">
        <v>53</v>
      </c>
      <c r="F136" s="23" t="s">
        <v>54</v>
      </c>
    </row>
    <row r="137" spans="2:17" x14ac:dyDescent="0.25">
      <c r="B137" s="24">
        <v>1</v>
      </c>
      <c r="C137" s="22"/>
      <c r="D137" s="22"/>
      <c r="E137" s="22"/>
      <c r="F137" s="22"/>
      <c r="Q137">
        <f>IF(AND($E137="",COUNTA($C137:$D137,$F137)&gt;0),1,0)</f>
      </c>
    </row>
    <row r="138" spans="2:17" x14ac:dyDescent="0.25">
      <c r="B138" s="24">
        <v>2</v>
      </c>
      <c r="C138" s="22"/>
      <c r="D138" s="22"/>
      <c r="E138" s="22"/>
      <c r="F138" s="22"/>
      <c r="Q138">
        <f>IF(AND($E138="",COUNTA($C138:$D138,$F138)&gt;0),1,0)</f>
      </c>
    </row>
    <row r="139" spans="2:17" x14ac:dyDescent="0.25">
      <c r="B139" s="24">
        <v>3</v>
      </c>
      <c r="C139" s="22"/>
      <c r="D139" s="22"/>
      <c r="E139" s="22"/>
      <c r="F139" s="22"/>
      <c r="Q139">
        <f>IF(AND($E139="",COUNTA($C139:$D139,$F139)&gt;0),1,0)</f>
      </c>
    </row>
    <row r="140" spans="2:17" x14ac:dyDescent="0.25">
      <c r="B140" s="24">
        <v>4</v>
      </c>
      <c r="C140" s="22"/>
      <c r="D140" s="22"/>
      <c r="E140" s="22"/>
      <c r="F140" s="22"/>
      <c r="Q140">
        <f>IF(AND($E140="",COUNTA($C140:$D140,$F140)&gt;0),1,0)</f>
      </c>
    </row>
    <row r="141" spans="2:17" x14ac:dyDescent="0.25">
      <c r="B141" s="24">
        <v>5</v>
      </c>
      <c r="C141" s="22"/>
      <c r="D141" s="22"/>
      <c r="E141" s="22"/>
      <c r="F141" s="22"/>
      <c r="Q141">
        <f>IF(AND($E141="",COUNTA($C141:$D141,$F141)&gt;0),1,0)</f>
      </c>
    </row>
    <row r="142" spans="2:17" x14ac:dyDescent="0.25">
      <c r="B142" s="24">
        <v>6</v>
      </c>
      <c r="C142" s="22"/>
      <c r="D142" s="22"/>
      <c r="E142" s="22"/>
      <c r="F142" s="22"/>
      <c r="Q142">
        <f>IF(AND($E142="",COUNTA($C142:$D142,$F142)&gt;0),1,0)</f>
      </c>
    </row>
    <row r="143" spans="2:17" x14ac:dyDescent="0.25">
      <c r="B143" s="24">
        <v>7</v>
      </c>
      <c r="C143" s="22"/>
      <c r="D143" s="22"/>
      <c r="E143" s="22"/>
      <c r="F143" s="22"/>
      <c r="Q143">
        <f>IF(AND($E143="",COUNTA($C143:$D143,$F143)&gt;0),1,0)</f>
      </c>
    </row>
    <row r="144" spans="2:17" x14ac:dyDescent="0.25">
      <c r="B144" s="24">
        <v>8</v>
      </c>
      <c r="C144" s="22"/>
      <c r="D144" s="22"/>
      <c r="E144" s="22"/>
      <c r="F144" s="22"/>
      <c r="Q144">
        <f>IF(AND($E144="",COUNTA($C144:$D144,$F144)&gt;0),1,0)</f>
      </c>
    </row>
    <row r="146" spans="2:6" x14ac:dyDescent="0.25">
      <c r="B146" s="18" t="s">
        <v>44</v>
      </c>
      <c r="C146" s="19"/>
      <c r="D146" s="19"/>
      <c r="E146" s="5"/>
      <c r="F146" s="5"/>
    </row>
    <row r="147" ht="24" customHeight="1" spans="2:16" x14ac:dyDescent="0.25">
      <c r="B147" s="20" t="s">
        <v>64</v>
      </c>
      <c r="C147" s="21"/>
      <c r="D147" s="21"/>
      <c r="E147" s="21"/>
      <c r="F147" s="21"/>
      <c r="G147" s="4">
        <f>IFERROR(IF(AND($C$147="",$C$148=""),IF(COUNTA($C$146:$F$146,$E$149,$C$151:$F$158)+COUNTA($E$148,$C$149)&gt;0,"⚠ Pick an exercise for this card",""),IF(AND($C$147&lt;&gt;"",$C$148&lt;&gt;""),"⚠ Use the library OR a custom exercise, not both",IF(AND($C$148&lt;&gt;"",$E$148=""),"⚠ Pick a muscle group for the custom exercise",IF(COUNT($E$151:$E$158)=0,"⚠ Enter Goal Reps for at least one set",IF(SUM($Q$151:$Q$158)&gt;0,"⚠ A set is missing Goal Reps",IF(IF($C$149="",1=0,COUNTIF($P$7:$P$214,$C$149)&lt;2),"⚠ Superset "&amp;$C$149&amp;" needs 2+ exercises",IF($C$147&lt;&gt;"",IFERROR("✓ "&amp;INDEX('Exercise Library'!$C$2:$C$319,MATCH($C$147,'Exercise Library'!$B$2:$B$319,0))&amp;IF(INDEX('Exercise Library'!$D$2:$D$319,MATCH($C$147,'Exercise Library'!$B$2:$B$319,0))="Yes"," · demo video","")&amp;" · "&amp;COUNT($E$151:$E$158)&amp;" sets","⚠ Not in the library — use Custom"),"✓ Custom ("&amp;$E$148&amp;") · "&amp;COUNT($E$151:$E$158)&amp;" sets"))))))),"⚠ Check this row")</f>
      </c>
      <c r="P147">
        <f>IF(OR($C$147&lt;&gt;"",$C$148&lt;&gt;""),$C$149,"")</f>
      </c>
    </row>
    <row r="148" spans="2:6" x14ac:dyDescent="0.25">
      <c r="B148" s="18" t="s">
        <v>46</v>
      </c>
      <c r="C148" s="5"/>
      <c r="D148" s="5"/>
      <c r="E148" s="5"/>
      <c r="F148" s="18" t="s">
        <v>47</v>
      </c>
    </row>
    <row r="149" ht="22" customHeight="1" spans="2:6" x14ac:dyDescent="0.25">
      <c r="B149" s="18" t="s">
        <v>48</v>
      </c>
      <c r="C149" s="22"/>
      <c r="D149" s="18" t="s">
        <v>49</v>
      </c>
      <c r="E149" s="5"/>
      <c r="F149" s="5"/>
    </row>
    <row r="150" spans="2:6" x14ac:dyDescent="0.25">
      <c r="B150" s="23" t="s">
        <v>50</v>
      </c>
      <c r="C150" s="23" t="s">
        <v>51</v>
      </c>
      <c r="D150" s="23" t="s">
        <v>52</v>
      </c>
      <c r="E150" s="23" t="s">
        <v>53</v>
      </c>
      <c r="F150" s="23" t="s">
        <v>54</v>
      </c>
    </row>
    <row r="151" spans="2:17" x14ac:dyDescent="0.25">
      <c r="B151" s="24">
        <v>1</v>
      </c>
      <c r="C151" s="22"/>
      <c r="D151" s="22"/>
      <c r="E151" s="22"/>
      <c r="F151" s="22"/>
      <c r="Q151">
        <f>IF(AND($E151="",COUNTA($C151:$D151,$F151)&gt;0),1,0)</f>
      </c>
    </row>
    <row r="152" spans="2:17" x14ac:dyDescent="0.25">
      <c r="B152" s="24">
        <v>2</v>
      </c>
      <c r="C152" s="22"/>
      <c r="D152" s="22"/>
      <c r="E152" s="22"/>
      <c r="F152" s="22"/>
      <c r="Q152">
        <f>IF(AND($E152="",COUNTA($C152:$D152,$F152)&gt;0),1,0)</f>
      </c>
    </row>
    <row r="153" spans="2:17" x14ac:dyDescent="0.25">
      <c r="B153" s="24">
        <v>3</v>
      </c>
      <c r="C153" s="22"/>
      <c r="D153" s="22"/>
      <c r="E153" s="22"/>
      <c r="F153" s="22"/>
      <c r="Q153">
        <f>IF(AND($E153="",COUNTA($C153:$D153,$F153)&gt;0),1,0)</f>
      </c>
    </row>
    <row r="154" spans="2:17" x14ac:dyDescent="0.25">
      <c r="B154" s="24">
        <v>4</v>
      </c>
      <c r="C154" s="22"/>
      <c r="D154" s="22"/>
      <c r="E154" s="22"/>
      <c r="F154" s="22"/>
      <c r="Q154">
        <f>IF(AND($E154="",COUNTA($C154:$D154,$F154)&gt;0),1,0)</f>
      </c>
    </row>
    <row r="155" spans="2:17" x14ac:dyDescent="0.25">
      <c r="B155" s="24">
        <v>5</v>
      </c>
      <c r="C155" s="22"/>
      <c r="D155" s="22"/>
      <c r="E155" s="22"/>
      <c r="F155" s="22"/>
      <c r="Q155">
        <f>IF(AND($E155="",COUNTA($C155:$D155,$F155)&gt;0),1,0)</f>
      </c>
    </row>
    <row r="156" spans="2:17" x14ac:dyDescent="0.25">
      <c r="B156" s="24">
        <v>6</v>
      </c>
      <c r="C156" s="22"/>
      <c r="D156" s="22"/>
      <c r="E156" s="22"/>
      <c r="F156" s="22"/>
      <c r="Q156">
        <f>IF(AND($E156="",COUNTA($C156:$D156,$F156)&gt;0),1,0)</f>
      </c>
    </row>
    <row r="157" spans="2:17" x14ac:dyDescent="0.25">
      <c r="B157" s="24">
        <v>7</v>
      </c>
      <c r="C157" s="22"/>
      <c r="D157" s="22"/>
      <c r="E157" s="22"/>
      <c r="F157" s="22"/>
      <c r="Q157">
        <f>IF(AND($E157="",COUNTA($C157:$D157,$F157)&gt;0),1,0)</f>
      </c>
    </row>
    <row r="158" spans="2:17" x14ac:dyDescent="0.25">
      <c r="B158" s="24">
        <v>8</v>
      </c>
      <c r="C158" s="22"/>
      <c r="D158" s="22"/>
      <c r="E158" s="22"/>
      <c r="F158" s="22"/>
      <c r="Q158">
        <f>IF(AND($E158="",COUNTA($C158:$D158,$F158)&gt;0),1,0)</f>
      </c>
    </row>
    <row r="160" spans="2:6" x14ac:dyDescent="0.25">
      <c r="B160" s="18" t="s">
        <v>44</v>
      </c>
      <c r="C160" s="19"/>
      <c r="D160" s="19"/>
      <c r="E160" s="5"/>
      <c r="F160" s="5"/>
    </row>
    <row r="161" ht="24" customHeight="1" spans="2:16" x14ac:dyDescent="0.25">
      <c r="B161" s="20" t="s">
        <v>65</v>
      </c>
      <c r="C161" s="21"/>
      <c r="D161" s="21"/>
      <c r="E161" s="21"/>
      <c r="F161" s="21"/>
      <c r="G161" s="4">
        <f>IFERROR(IF(AND($C$161="",$C$162=""),IF(COUNTA($C$160:$F$160,$E$163,$C$165:$F$172)+COUNTA($E$162,$C$163)&gt;0,"⚠ Pick an exercise for this card",""),IF(AND($C$161&lt;&gt;"",$C$162&lt;&gt;""),"⚠ Use the library OR a custom exercise, not both",IF(AND($C$162&lt;&gt;"",$E$162=""),"⚠ Pick a muscle group for the custom exercise",IF(COUNT($E$165:$E$172)=0,"⚠ Enter Goal Reps for at least one set",IF(SUM($Q$165:$Q$172)&gt;0,"⚠ A set is missing Goal Reps",IF(IF($C$163="",1=0,COUNTIF($P$7:$P$214,$C$163)&lt;2),"⚠ Superset "&amp;$C$163&amp;" needs 2+ exercises",IF($C$161&lt;&gt;"",IFERROR("✓ "&amp;INDEX('Exercise Library'!$C$2:$C$319,MATCH($C$161,'Exercise Library'!$B$2:$B$319,0))&amp;IF(INDEX('Exercise Library'!$D$2:$D$319,MATCH($C$161,'Exercise Library'!$B$2:$B$319,0))="Yes"," · demo video","")&amp;" · "&amp;COUNT($E$165:$E$172)&amp;" sets","⚠ Not in the library — use Custom"),"✓ Custom ("&amp;$E$162&amp;") · "&amp;COUNT($E$165:$E$172)&amp;" sets"))))))),"⚠ Check this row")</f>
      </c>
      <c r="P161">
        <f>IF(OR($C$161&lt;&gt;"",$C$162&lt;&gt;""),$C$163,"")</f>
      </c>
    </row>
    <row r="162" spans="2:6" x14ac:dyDescent="0.25">
      <c r="B162" s="18" t="s">
        <v>46</v>
      </c>
      <c r="C162" s="5"/>
      <c r="D162" s="5"/>
      <c r="E162" s="5"/>
      <c r="F162" s="18" t="s">
        <v>47</v>
      </c>
    </row>
    <row r="163" ht="22" customHeight="1" spans="2:6" x14ac:dyDescent="0.25">
      <c r="B163" s="18" t="s">
        <v>48</v>
      </c>
      <c r="C163" s="22"/>
      <c r="D163" s="18" t="s">
        <v>49</v>
      </c>
      <c r="E163" s="5"/>
      <c r="F163" s="5"/>
    </row>
    <row r="164" spans="2:6" x14ac:dyDescent="0.25">
      <c r="B164" s="23" t="s">
        <v>50</v>
      </c>
      <c r="C164" s="23" t="s">
        <v>51</v>
      </c>
      <c r="D164" s="23" t="s">
        <v>52</v>
      </c>
      <c r="E164" s="23" t="s">
        <v>53</v>
      </c>
      <c r="F164" s="23" t="s">
        <v>54</v>
      </c>
    </row>
    <row r="165" spans="2:17" x14ac:dyDescent="0.25">
      <c r="B165" s="24">
        <v>1</v>
      </c>
      <c r="C165" s="22"/>
      <c r="D165" s="22"/>
      <c r="E165" s="22"/>
      <c r="F165" s="22"/>
      <c r="Q165">
        <f>IF(AND($E165="",COUNTA($C165:$D165,$F165)&gt;0),1,0)</f>
      </c>
    </row>
    <row r="166" spans="2:17" x14ac:dyDescent="0.25">
      <c r="B166" s="24">
        <v>2</v>
      </c>
      <c r="C166" s="22"/>
      <c r="D166" s="22"/>
      <c r="E166" s="22"/>
      <c r="F166" s="22"/>
      <c r="Q166">
        <f>IF(AND($E166="",COUNTA($C166:$D166,$F166)&gt;0),1,0)</f>
      </c>
    </row>
    <row r="167" spans="2:17" x14ac:dyDescent="0.25">
      <c r="B167" s="24">
        <v>3</v>
      </c>
      <c r="C167" s="22"/>
      <c r="D167" s="22"/>
      <c r="E167" s="22"/>
      <c r="F167" s="22"/>
      <c r="Q167">
        <f>IF(AND($E167="",COUNTA($C167:$D167,$F167)&gt;0),1,0)</f>
      </c>
    </row>
    <row r="168" spans="2:17" x14ac:dyDescent="0.25">
      <c r="B168" s="24">
        <v>4</v>
      </c>
      <c r="C168" s="22"/>
      <c r="D168" s="22"/>
      <c r="E168" s="22"/>
      <c r="F168" s="22"/>
      <c r="Q168">
        <f>IF(AND($E168="",COUNTA($C168:$D168,$F168)&gt;0),1,0)</f>
      </c>
    </row>
    <row r="169" spans="2:17" x14ac:dyDescent="0.25">
      <c r="B169" s="24">
        <v>5</v>
      </c>
      <c r="C169" s="22"/>
      <c r="D169" s="22"/>
      <c r="E169" s="22"/>
      <c r="F169" s="22"/>
      <c r="Q169">
        <f>IF(AND($E169="",COUNTA($C169:$D169,$F169)&gt;0),1,0)</f>
      </c>
    </row>
    <row r="170" spans="2:17" x14ac:dyDescent="0.25">
      <c r="B170" s="24">
        <v>6</v>
      </c>
      <c r="C170" s="22"/>
      <c r="D170" s="22"/>
      <c r="E170" s="22"/>
      <c r="F170" s="22"/>
      <c r="Q170">
        <f>IF(AND($E170="",COUNTA($C170:$D170,$F170)&gt;0),1,0)</f>
      </c>
    </row>
    <row r="171" spans="2:17" x14ac:dyDescent="0.25">
      <c r="B171" s="24">
        <v>7</v>
      </c>
      <c r="C171" s="22"/>
      <c r="D171" s="22"/>
      <c r="E171" s="22"/>
      <c r="F171" s="22"/>
      <c r="Q171">
        <f>IF(AND($E171="",COUNTA($C171:$D171,$F171)&gt;0),1,0)</f>
      </c>
    </row>
    <row r="172" spans="2:17" x14ac:dyDescent="0.25">
      <c r="B172" s="24">
        <v>8</v>
      </c>
      <c r="C172" s="22"/>
      <c r="D172" s="22"/>
      <c r="E172" s="22"/>
      <c r="F172" s="22"/>
      <c r="Q172">
        <f>IF(AND($E172="",COUNTA($C172:$D172,$F172)&gt;0),1,0)</f>
      </c>
    </row>
    <row r="174" spans="2:6" x14ac:dyDescent="0.25">
      <c r="B174" s="18" t="s">
        <v>44</v>
      </c>
      <c r="C174" s="19"/>
      <c r="D174" s="19"/>
      <c r="E174" s="5"/>
      <c r="F174" s="5"/>
    </row>
    <row r="175" ht="24" customHeight="1" spans="2:16" x14ac:dyDescent="0.25">
      <c r="B175" s="20" t="s">
        <v>66</v>
      </c>
      <c r="C175" s="21"/>
      <c r="D175" s="21"/>
      <c r="E175" s="21"/>
      <c r="F175" s="21"/>
      <c r="G175" s="4">
        <f>IFERROR(IF(AND($C$175="",$C$176=""),IF(COUNTA($C$174:$F$174,$E$177,$C$179:$F$186)+COUNTA($E$176,$C$177)&gt;0,"⚠ Pick an exercise for this card",""),IF(AND($C$175&lt;&gt;"",$C$176&lt;&gt;""),"⚠ Use the library OR a custom exercise, not both",IF(AND($C$176&lt;&gt;"",$E$176=""),"⚠ Pick a muscle group for the custom exercise",IF(COUNT($E$179:$E$186)=0,"⚠ Enter Goal Reps for at least one set",IF(SUM($Q$179:$Q$186)&gt;0,"⚠ A set is missing Goal Reps",IF(IF($C$177="",1=0,COUNTIF($P$7:$P$214,$C$177)&lt;2),"⚠ Superset "&amp;$C$177&amp;" needs 2+ exercises",IF($C$175&lt;&gt;"",IFERROR("✓ "&amp;INDEX('Exercise Library'!$C$2:$C$319,MATCH($C$175,'Exercise Library'!$B$2:$B$319,0))&amp;IF(INDEX('Exercise Library'!$D$2:$D$319,MATCH($C$175,'Exercise Library'!$B$2:$B$319,0))="Yes"," · demo video","")&amp;" · "&amp;COUNT($E$179:$E$186)&amp;" sets","⚠ Not in the library — use Custom"),"✓ Custom ("&amp;$E$176&amp;") · "&amp;COUNT($E$179:$E$186)&amp;" sets"))))))),"⚠ Check this row")</f>
      </c>
      <c r="P175">
        <f>IF(OR($C$175&lt;&gt;"",$C$176&lt;&gt;""),$C$177,"")</f>
      </c>
    </row>
    <row r="176" spans="2:6" x14ac:dyDescent="0.25">
      <c r="B176" s="18" t="s">
        <v>46</v>
      </c>
      <c r="C176" s="5"/>
      <c r="D176" s="5"/>
      <c r="E176" s="5"/>
      <c r="F176" s="18" t="s">
        <v>47</v>
      </c>
    </row>
    <row r="177" ht="22" customHeight="1" spans="2:6" x14ac:dyDescent="0.25">
      <c r="B177" s="18" t="s">
        <v>48</v>
      </c>
      <c r="C177" s="22"/>
      <c r="D177" s="18" t="s">
        <v>49</v>
      </c>
      <c r="E177" s="5"/>
      <c r="F177" s="5"/>
    </row>
    <row r="178" spans="2:6" x14ac:dyDescent="0.25">
      <c r="B178" s="23" t="s">
        <v>50</v>
      </c>
      <c r="C178" s="23" t="s">
        <v>51</v>
      </c>
      <c r="D178" s="23" t="s">
        <v>52</v>
      </c>
      <c r="E178" s="23" t="s">
        <v>53</v>
      </c>
      <c r="F178" s="23" t="s">
        <v>54</v>
      </c>
    </row>
    <row r="179" spans="2:17" x14ac:dyDescent="0.25">
      <c r="B179" s="24">
        <v>1</v>
      </c>
      <c r="C179" s="22"/>
      <c r="D179" s="22"/>
      <c r="E179" s="22"/>
      <c r="F179" s="22"/>
      <c r="Q179">
        <f>IF(AND($E179="",COUNTA($C179:$D179,$F179)&gt;0),1,0)</f>
      </c>
    </row>
    <row r="180" spans="2:17" x14ac:dyDescent="0.25">
      <c r="B180" s="24">
        <v>2</v>
      </c>
      <c r="C180" s="22"/>
      <c r="D180" s="22"/>
      <c r="E180" s="22"/>
      <c r="F180" s="22"/>
      <c r="Q180">
        <f>IF(AND($E180="",COUNTA($C180:$D180,$F180)&gt;0),1,0)</f>
      </c>
    </row>
    <row r="181" spans="2:17" x14ac:dyDescent="0.25">
      <c r="B181" s="24">
        <v>3</v>
      </c>
      <c r="C181" s="22"/>
      <c r="D181" s="22"/>
      <c r="E181" s="22"/>
      <c r="F181" s="22"/>
      <c r="Q181">
        <f>IF(AND($E181="",COUNTA($C181:$D181,$F181)&gt;0),1,0)</f>
      </c>
    </row>
    <row r="182" spans="2:17" x14ac:dyDescent="0.25">
      <c r="B182" s="24">
        <v>4</v>
      </c>
      <c r="C182" s="22"/>
      <c r="D182" s="22"/>
      <c r="E182" s="22"/>
      <c r="F182" s="22"/>
      <c r="Q182">
        <f>IF(AND($E182="",COUNTA($C182:$D182,$F182)&gt;0),1,0)</f>
      </c>
    </row>
    <row r="183" spans="2:17" x14ac:dyDescent="0.25">
      <c r="B183" s="24">
        <v>5</v>
      </c>
      <c r="C183" s="22"/>
      <c r="D183" s="22"/>
      <c r="E183" s="22"/>
      <c r="F183" s="22"/>
      <c r="Q183">
        <f>IF(AND($E183="",COUNTA($C183:$D183,$F183)&gt;0),1,0)</f>
      </c>
    </row>
    <row r="184" spans="2:17" x14ac:dyDescent="0.25">
      <c r="B184" s="24">
        <v>6</v>
      </c>
      <c r="C184" s="22"/>
      <c r="D184" s="22"/>
      <c r="E184" s="22"/>
      <c r="F184" s="22"/>
      <c r="Q184">
        <f>IF(AND($E184="",COUNTA($C184:$D184,$F184)&gt;0),1,0)</f>
      </c>
    </row>
    <row r="185" spans="2:17" x14ac:dyDescent="0.25">
      <c r="B185" s="24">
        <v>7</v>
      </c>
      <c r="C185" s="22"/>
      <c r="D185" s="22"/>
      <c r="E185" s="22"/>
      <c r="F185" s="22"/>
      <c r="Q185">
        <f>IF(AND($E185="",COUNTA($C185:$D185,$F185)&gt;0),1,0)</f>
      </c>
    </row>
    <row r="186" spans="2:17" x14ac:dyDescent="0.25">
      <c r="B186" s="24">
        <v>8</v>
      </c>
      <c r="C186" s="22"/>
      <c r="D186" s="22"/>
      <c r="E186" s="22"/>
      <c r="F186" s="22"/>
      <c r="Q186">
        <f>IF(AND($E186="",COUNTA($C186:$D186,$F186)&gt;0),1,0)</f>
      </c>
    </row>
    <row r="188" spans="2:6" x14ac:dyDescent="0.25">
      <c r="B188" s="18" t="s">
        <v>44</v>
      </c>
      <c r="C188" s="19"/>
      <c r="D188" s="19"/>
      <c r="E188" s="5"/>
      <c r="F188" s="5"/>
    </row>
    <row r="189" ht="24" customHeight="1" spans="2:16" x14ac:dyDescent="0.25">
      <c r="B189" s="20" t="s">
        <v>67</v>
      </c>
      <c r="C189" s="21"/>
      <c r="D189" s="21"/>
      <c r="E189" s="21"/>
      <c r="F189" s="21"/>
      <c r="G189" s="4">
        <f>IFERROR(IF(AND($C$189="",$C$190=""),IF(COUNTA($C$188:$F$188,$E$191,$C$193:$F$200)+COUNTA($E$190,$C$191)&gt;0,"⚠ Pick an exercise for this card",""),IF(AND($C$189&lt;&gt;"",$C$190&lt;&gt;""),"⚠ Use the library OR a custom exercise, not both",IF(AND($C$190&lt;&gt;"",$E$190=""),"⚠ Pick a muscle group for the custom exercise",IF(COUNT($E$193:$E$200)=0,"⚠ Enter Goal Reps for at least one set",IF(SUM($Q$193:$Q$200)&gt;0,"⚠ A set is missing Goal Reps",IF(IF($C$191="",1=0,COUNTIF($P$7:$P$214,$C$191)&lt;2),"⚠ Superset "&amp;$C$191&amp;" needs 2+ exercises",IF($C$189&lt;&gt;"",IFERROR("✓ "&amp;INDEX('Exercise Library'!$C$2:$C$319,MATCH($C$189,'Exercise Library'!$B$2:$B$319,0))&amp;IF(INDEX('Exercise Library'!$D$2:$D$319,MATCH($C$189,'Exercise Library'!$B$2:$B$319,0))="Yes"," · demo video","")&amp;" · "&amp;COUNT($E$193:$E$200)&amp;" sets","⚠ Not in the library — use Custom"),"✓ Custom ("&amp;$E$190&amp;") · "&amp;COUNT($E$193:$E$200)&amp;" sets"))))))),"⚠ Check this row")</f>
      </c>
      <c r="P189">
        <f>IF(OR($C$189&lt;&gt;"",$C$190&lt;&gt;""),$C$191,"")</f>
      </c>
    </row>
    <row r="190" spans="2:6" x14ac:dyDescent="0.25">
      <c r="B190" s="18" t="s">
        <v>46</v>
      </c>
      <c r="C190" s="5"/>
      <c r="D190" s="5"/>
      <c r="E190" s="5"/>
      <c r="F190" s="18" t="s">
        <v>47</v>
      </c>
    </row>
    <row r="191" ht="22" customHeight="1" spans="2:6" x14ac:dyDescent="0.25">
      <c r="B191" s="18" t="s">
        <v>48</v>
      </c>
      <c r="C191" s="22"/>
      <c r="D191" s="18" t="s">
        <v>49</v>
      </c>
      <c r="E191" s="5"/>
      <c r="F191" s="5"/>
    </row>
    <row r="192" spans="2:6" x14ac:dyDescent="0.25">
      <c r="B192" s="23" t="s">
        <v>50</v>
      </c>
      <c r="C192" s="23" t="s">
        <v>51</v>
      </c>
      <c r="D192" s="23" t="s">
        <v>52</v>
      </c>
      <c r="E192" s="23" t="s">
        <v>53</v>
      </c>
      <c r="F192" s="23" t="s">
        <v>54</v>
      </c>
    </row>
    <row r="193" spans="2:17" x14ac:dyDescent="0.25">
      <c r="B193" s="24">
        <v>1</v>
      </c>
      <c r="C193" s="22"/>
      <c r="D193" s="22"/>
      <c r="E193" s="22"/>
      <c r="F193" s="22"/>
      <c r="Q193">
        <f>IF(AND($E193="",COUNTA($C193:$D193,$F193)&gt;0),1,0)</f>
      </c>
    </row>
    <row r="194" spans="2:17" x14ac:dyDescent="0.25">
      <c r="B194" s="24">
        <v>2</v>
      </c>
      <c r="C194" s="22"/>
      <c r="D194" s="22"/>
      <c r="E194" s="22"/>
      <c r="F194" s="22"/>
      <c r="Q194">
        <f>IF(AND($E194="",COUNTA($C194:$D194,$F194)&gt;0),1,0)</f>
      </c>
    </row>
    <row r="195" spans="2:17" x14ac:dyDescent="0.25">
      <c r="B195" s="24">
        <v>3</v>
      </c>
      <c r="C195" s="22"/>
      <c r="D195" s="22"/>
      <c r="E195" s="22"/>
      <c r="F195" s="22"/>
      <c r="Q195">
        <f>IF(AND($E195="",COUNTA($C195:$D195,$F195)&gt;0),1,0)</f>
      </c>
    </row>
    <row r="196" spans="2:17" x14ac:dyDescent="0.25">
      <c r="B196" s="24">
        <v>4</v>
      </c>
      <c r="C196" s="22"/>
      <c r="D196" s="22"/>
      <c r="E196" s="22"/>
      <c r="F196" s="22"/>
      <c r="Q196">
        <f>IF(AND($E196="",COUNTA($C196:$D196,$F196)&gt;0),1,0)</f>
      </c>
    </row>
    <row r="197" spans="2:17" x14ac:dyDescent="0.25">
      <c r="B197" s="24">
        <v>5</v>
      </c>
      <c r="C197" s="22"/>
      <c r="D197" s="22"/>
      <c r="E197" s="22"/>
      <c r="F197" s="22"/>
      <c r="Q197">
        <f>IF(AND($E197="",COUNTA($C197:$D197,$F197)&gt;0),1,0)</f>
      </c>
    </row>
    <row r="198" spans="2:17" x14ac:dyDescent="0.25">
      <c r="B198" s="24">
        <v>6</v>
      </c>
      <c r="C198" s="22"/>
      <c r="D198" s="22"/>
      <c r="E198" s="22"/>
      <c r="F198" s="22"/>
      <c r="Q198">
        <f>IF(AND($E198="",COUNTA($C198:$D198,$F198)&gt;0),1,0)</f>
      </c>
    </row>
    <row r="199" spans="2:17" x14ac:dyDescent="0.25">
      <c r="B199" s="24">
        <v>7</v>
      </c>
      <c r="C199" s="22"/>
      <c r="D199" s="22"/>
      <c r="E199" s="22"/>
      <c r="F199" s="22"/>
      <c r="Q199">
        <f>IF(AND($E199="",COUNTA($C199:$D199,$F199)&gt;0),1,0)</f>
      </c>
    </row>
    <row r="200" spans="2:17" x14ac:dyDescent="0.25">
      <c r="B200" s="24">
        <v>8</v>
      </c>
      <c r="C200" s="22"/>
      <c r="D200" s="22"/>
      <c r="E200" s="22"/>
      <c r="F200" s="22"/>
      <c r="Q200">
        <f>IF(AND($E200="",COUNTA($C200:$D200,$F200)&gt;0),1,0)</f>
      </c>
    </row>
    <row r="202" spans="2:6" x14ac:dyDescent="0.25">
      <c r="B202" s="18" t="s">
        <v>44</v>
      </c>
      <c r="C202" s="19"/>
      <c r="D202" s="19"/>
      <c r="E202" s="5"/>
      <c r="F202" s="5"/>
    </row>
    <row r="203" ht="24" customHeight="1" spans="2:16" x14ac:dyDescent="0.25">
      <c r="B203" s="20" t="s">
        <v>68</v>
      </c>
      <c r="C203" s="21"/>
      <c r="D203" s="21"/>
      <c r="E203" s="21"/>
      <c r="F203" s="21"/>
      <c r="G203" s="4">
        <f>IFERROR(IF(AND($C$203="",$C$204=""),IF(COUNTA($C$202:$F$202,$E$205,$C$207:$F$214)+COUNTA($E$204,$C$205)&gt;0,"⚠ Pick an exercise for this card",""),IF(AND($C$203&lt;&gt;"",$C$204&lt;&gt;""),"⚠ Use the library OR a custom exercise, not both",IF(AND($C$204&lt;&gt;"",$E$204=""),"⚠ Pick a muscle group for the custom exercise",IF(COUNT($E$207:$E$214)=0,"⚠ Enter Goal Reps for at least one set",IF(SUM($Q$207:$Q$214)&gt;0,"⚠ A set is missing Goal Reps",IF(IF($C$205="",1=0,COUNTIF($P$7:$P$214,$C$205)&lt;2),"⚠ Superset "&amp;$C$205&amp;" needs 2+ exercises",IF($C$203&lt;&gt;"",IFERROR("✓ "&amp;INDEX('Exercise Library'!$C$2:$C$319,MATCH($C$203,'Exercise Library'!$B$2:$B$319,0))&amp;IF(INDEX('Exercise Library'!$D$2:$D$319,MATCH($C$203,'Exercise Library'!$B$2:$B$319,0))="Yes"," · demo video","")&amp;" · "&amp;COUNT($E$207:$E$214)&amp;" sets","⚠ Not in the library — use Custom"),"✓ Custom ("&amp;$E$204&amp;") · "&amp;COUNT($E$207:$E$214)&amp;" sets"))))))),"⚠ Check this row")</f>
      </c>
      <c r="P203">
        <f>IF(OR($C$203&lt;&gt;"",$C$204&lt;&gt;""),$C$205,"")</f>
      </c>
    </row>
    <row r="204" spans="2:6" x14ac:dyDescent="0.25">
      <c r="B204" s="18" t="s">
        <v>46</v>
      </c>
      <c r="C204" s="5"/>
      <c r="D204" s="5"/>
      <c r="E204" s="5"/>
      <c r="F204" s="18" t="s">
        <v>47</v>
      </c>
    </row>
    <row r="205" ht="22" customHeight="1" spans="2:6" x14ac:dyDescent="0.25">
      <c r="B205" s="18" t="s">
        <v>48</v>
      </c>
      <c r="C205" s="22"/>
      <c r="D205" s="18" t="s">
        <v>49</v>
      </c>
      <c r="E205" s="5"/>
      <c r="F205" s="5"/>
    </row>
    <row r="206" spans="2:6" x14ac:dyDescent="0.25">
      <c r="B206" s="23" t="s">
        <v>50</v>
      </c>
      <c r="C206" s="23" t="s">
        <v>51</v>
      </c>
      <c r="D206" s="23" t="s">
        <v>52</v>
      </c>
      <c r="E206" s="23" t="s">
        <v>53</v>
      </c>
      <c r="F206" s="23" t="s">
        <v>54</v>
      </c>
    </row>
    <row r="207" spans="2:17" x14ac:dyDescent="0.25">
      <c r="B207" s="24">
        <v>1</v>
      </c>
      <c r="C207" s="22"/>
      <c r="D207" s="22"/>
      <c r="E207" s="22"/>
      <c r="F207" s="22"/>
      <c r="Q207">
        <f>IF(AND($E207="",COUNTA($C207:$D207,$F207)&gt;0),1,0)</f>
      </c>
    </row>
    <row r="208" spans="2:17" x14ac:dyDescent="0.25">
      <c r="B208" s="24">
        <v>2</v>
      </c>
      <c r="C208" s="22"/>
      <c r="D208" s="22"/>
      <c r="E208" s="22"/>
      <c r="F208" s="22"/>
      <c r="Q208">
        <f>IF(AND($E208="",COUNTA($C208:$D208,$F208)&gt;0),1,0)</f>
      </c>
    </row>
    <row r="209" spans="2:17" x14ac:dyDescent="0.25">
      <c r="B209" s="24">
        <v>3</v>
      </c>
      <c r="C209" s="22"/>
      <c r="D209" s="22"/>
      <c r="E209" s="22"/>
      <c r="F209" s="22"/>
      <c r="Q209">
        <f>IF(AND($E209="",COUNTA($C209:$D209,$F209)&gt;0),1,0)</f>
      </c>
    </row>
    <row r="210" spans="2:17" x14ac:dyDescent="0.25">
      <c r="B210" s="24">
        <v>4</v>
      </c>
      <c r="C210" s="22"/>
      <c r="D210" s="22"/>
      <c r="E210" s="22"/>
      <c r="F210" s="22"/>
      <c r="Q210">
        <f>IF(AND($E210="",COUNTA($C210:$D210,$F210)&gt;0),1,0)</f>
      </c>
    </row>
    <row r="211" spans="2:17" x14ac:dyDescent="0.25">
      <c r="B211" s="24">
        <v>5</v>
      </c>
      <c r="C211" s="22"/>
      <c r="D211" s="22"/>
      <c r="E211" s="22"/>
      <c r="F211" s="22"/>
      <c r="Q211">
        <f>IF(AND($E211="",COUNTA($C211:$D211,$F211)&gt;0),1,0)</f>
      </c>
    </row>
    <row r="212" spans="2:17" x14ac:dyDescent="0.25">
      <c r="B212" s="24">
        <v>6</v>
      </c>
      <c r="C212" s="22"/>
      <c r="D212" s="22"/>
      <c r="E212" s="22"/>
      <c r="F212" s="22"/>
      <c r="Q212">
        <f>IF(AND($E212="",COUNTA($C212:$D212,$F212)&gt;0),1,0)</f>
      </c>
    </row>
    <row r="213" spans="2:17" x14ac:dyDescent="0.25">
      <c r="B213" s="24">
        <v>7</v>
      </c>
      <c r="C213" s="22"/>
      <c r="D213" s="22"/>
      <c r="E213" s="22"/>
      <c r="F213" s="22"/>
      <c r="Q213">
        <f>IF(AND($E213="",COUNTA($C213:$D213,$F213)&gt;0),1,0)</f>
      </c>
    </row>
    <row r="214" spans="2:17" x14ac:dyDescent="0.25">
      <c r="B214" s="24">
        <v>8</v>
      </c>
      <c r="C214" s="22"/>
      <c r="D214" s="22"/>
      <c r="E214" s="22"/>
      <c r="F214" s="22"/>
      <c r="Q214">
        <f>IF(AND($E214="",COUNTA($C214:$D214,$F214)&gt;0),1,0)</f>
      </c>
    </row>
  </sheetData>
  <mergeCells count="78">
    <mergeCell ref="A1:G1"/>
    <mergeCell ref="C3:F3"/>
    <mergeCell ref="C4:F4"/>
    <mergeCell ref="C6:D6"/>
    <mergeCell ref="E6:F6"/>
    <mergeCell ref="C7:F7"/>
    <mergeCell ref="C8:D8"/>
    <mergeCell ref="E9:F9"/>
    <mergeCell ref="C20:D20"/>
    <mergeCell ref="E20:F20"/>
    <mergeCell ref="C21:F21"/>
    <mergeCell ref="C22:D22"/>
    <mergeCell ref="E23:F23"/>
    <mergeCell ref="C34:D34"/>
    <mergeCell ref="E34:F34"/>
    <mergeCell ref="C35:F35"/>
    <mergeCell ref="C36:D36"/>
    <mergeCell ref="E37:F37"/>
    <mergeCell ref="C48:D48"/>
    <mergeCell ref="E48:F48"/>
    <mergeCell ref="C49:F49"/>
    <mergeCell ref="C50:D50"/>
    <mergeCell ref="E51:F51"/>
    <mergeCell ref="C62:D62"/>
    <mergeCell ref="E62:F62"/>
    <mergeCell ref="C63:F63"/>
    <mergeCell ref="C64:D64"/>
    <mergeCell ref="E65:F65"/>
    <mergeCell ref="C76:D76"/>
    <mergeCell ref="E76:F76"/>
    <mergeCell ref="C77:F77"/>
    <mergeCell ref="C78:D78"/>
    <mergeCell ref="E79:F79"/>
    <mergeCell ref="C90:D90"/>
    <mergeCell ref="E90:F90"/>
    <mergeCell ref="C91:F91"/>
    <mergeCell ref="C92:D92"/>
    <mergeCell ref="E93:F93"/>
    <mergeCell ref="C104:D104"/>
    <mergeCell ref="E104:F104"/>
    <mergeCell ref="C105:F105"/>
    <mergeCell ref="C106:D106"/>
    <mergeCell ref="E107:F107"/>
    <mergeCell ref="C118:D118"/>
    <mergeCell ref="E118:F118"/>
    <mergeCell ref="C119:F119"/>
    <mergeCell ref="C120:D120"/>
    <mergeCell ref="E121:F121"/>
    <mergeCell ref="C132:D132"/>
    <mergeCell ref="E132:F132"/>
    <mergeCell ref="C133:F133"/>
    <mergeCell ref="C134:D134"/>
    <mergeCell ref="E135:F135"/>
    <mergeCell ref="C146:D146"/>
    <mergeCell ref="E146:F146"/>
    <mergeCell ref="C147:F147"/>
    <mergeCell ref="C148:D148"/>
    <mergeCell ref="E149:F149"/>
    <mergeCell ref="C160:D160"/>
    <mergeCell ref="E160:F160"/>
    <mergeCell ref="C161:F161"/>
    <mergeCell ref="C162:D162"/>
    <mergeCell ref="E163:F163"/>
    <mergeCell ref="C174:D174"/>
    <mergeCell ref="E174:F174"/>
    <mergeCell ref="C175:F175"/>
    <mergeCell ref="C176:D176"/>
    <mergeCell ref="E177:F177"/>
    <mergeCell ref="C188:D188"/>
    <mergeCell ref="E188:F188"/>
    <mergeCell ref="C189:F189"/>
    <mergeCell ref="C190:D190"/>
    <mergeCell ref="E191:F191"/>
    <mergeCell ref="C202:D202"/>
    <mergeCell ref="E202:F202"/>
    <mergeCell ref="C203:F203"/>
    <mergeCell ref="C204:D204"/>
    <mergeCell ref="E205:F205"/>
  </mergeCells>
  <conditionalFormatting sqref="A1:G1">
    <cfRule type="expression" dxfId="21" priority="1">
      <formula>$O$1="FILL"</formula>
    </cfRule>
    <cfRule type="expression" dxfId="22" priority="2">
      <formula>$O$1="SKIP"</formula>
    </cfRule>
    <cfRule type="expression" dxfId="23" priority="3">
      <formula>$O$1=""</formula>
    </cfRule>
  </conditionalFormatting>
  <conditionalFormatting sqref="G3:G214">
    <cfRule type="expression" dxfId="24" priority="1">
      <formula>LEFT(G3,1)="⚠"</formula>
    </cfRule>
    <cfRule type="expression" dxfId="25" priority="2">
      <formula>LEFT(G3,1)="✓"</formula>
    </cfRule>
  </conditionalFormatting>
  <conditionalFormatting sqref="C3:F214">
    <cfRule type="expression" dxfId="26" priority="1">
      <formula>$O$1="SKIP"</formula>
    </cfRule>
  </conditionalFormatting>
  <dataValidations count="121">
    <dataValidation type="list" allowBlank="1" showInputMessage="1" prompt="Pick from the RepLab exercise library (type to search). Library exercises come with demo videos." showErrorMessage="1" errorStyle="stop" errorTitle="Pick from the list" error="Choose one of the options in the dropdown." sqref="C105">
      <formula1>'Exercise Library'!$B$2:$B$319</formula1>
    </dataValidation>
    <dataValidation type="textLength" operator="lessThanOrEqual" allowBlank="1" showErrorMessage="1" error="200 characters or fewer." sqref="C106">
      <formula1>200</formula1>
    </dataValidation>
    <dataValidation type="list" allowBlank="1" showInputMessage="1" prompt="Same letter = same superset" showErrorMessage="1" errorStyle="stop" errorTitle="Pick from the list" error="Choose one of the options in the dropdown." sqref="C107">
      <formula1>Lists!$E$2:$E$11</formula1>
    </dataValidation>
    <dataValidation type="list" allowBlank="1" showErrorMessage="1" errorStyle="stop" errorTitle="Pick from the list" error="Choose one of the options in the dropdown." sqref="C109:C11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19">
      <formula1>'Exercise Library'!$B$2:$B$319</formula1>
    </dataValidation>
    <dataValidation type="list" allowBlank="1" showErrorMessage="1" errorStyle="stop" errorTitle="Pick from the list" error="Choose one of the options in the dropdown." sqref="C11:C18">
      <formula1>Lists!$B$2:$B$9</formula1>
    </dataValidation>
    <dataValidation type="textLength" operator="lessThanOrEqual" allowBlank="1" showErrorMessage="1" error="200 characters or fewer." sqref="C120">
      <formula1>200</formula1>
    </dataValidation>
    <dataValidation type="list" allowBlank="1" showInputMessage="1" prompt="Same letter = same superset" showErrorMessage="1" errorStyle="stop" errorTitle="Pick from the list" error="Choose one of the options in the dropdown." sqref="C121">
      <formula1>Lists!$E$2:$E$11</formula1>
    </dataValidation>
    <dataValidation type="list" allowBlank="1" showErrorMessage="1" errorStyle="stop" errorTitle="Pick from the list" error="Choose one of the options in the dropdown." sqref="C123:C13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33">
      <formula1>'Exercise Library'!$B$2:$B$319</formula1>
    </dataValidation>
    <dataValidation type="textLength" operator="lessThanOrEqual" allowBlank="1" showErrorMessage="1" error="200 characters or fewer." sqref="C134">
      <formula1>200</formula1>
    </dataValidation>
    <dataValidation type="list" allowBlank="1" showInputMessage="1" prompt="Same letter = same superset" showErrorMessage="1" errorStyle="stop" errorTitle="Pick from the list" error="Choose one of the options in the dropdown." sqref="C135">
      <formula1>Lists!$E$2:$E$11</formula1>
    </dataValidation>
    <dataValidation type="list" allowBlank="1" showErrorMessage="1" errorStyle="stop" errorTitle="Pick from the list" error="Choose one of the options in the dropdown." sqref="C137:C14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47">
      <formula1>'Exercise Library'!$B$2:$B$319</formula1>
    </dataValidation>
    <dataValidation type="textLength" operator="lessThanOrEqual" allowBlank="1" showErrorMessage="1" error="200 characters or fewer." sqref="C148">
      <formula1>200</formula1>
    </dataValidation>
    <dataValidation type="list" allowBlank="1" showInputMessage="1" prompt="Same letter = same superset" showErrorMessage="1" errorStyle="stop" errorTitle="Pick from the list" error="Choose one of the options in the dropdown." sqref="C149">
      <formula1>Lists!$E$2:$E$11</formula1>
    </dataValidation>
    <dataValidation type="list" allowBlank="1" showErrorMessage="1" errorStyle="stop" errorTitle="Pick from the list" error="Choose one of the options in the dropdown." sqref="C151:C158">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61">
      <formula1>'Exercise Library'!$B$2:$B$319</formula1>
    </dataValidation>
    <dataValidation type="textLength" operator="lessThanOrEqual" allowBlank="1" showErrorMessage="1" error="200 characters or fewer." sqref="C162">
      <formula1>200</formula1>
    </dataValidation>
    <dataValidation type="list" allowBlank="1" showInputMessage="1" prompt="Same letter = same superset" showErrorMessage="1" errorStyle="stop" errorTitle="Pick from the list" error="Choose one of the options in the dropdown." sqref="C163">
      <formula1>Lists!$E$2:$E$11</formula1>
    </dataValidation>
    <dataValidation type="list" allowBlank="1" showErrorMessage="1" errorStyle="stop" errorTitle="Pick from the list" error="Choose one of the options in the dropdown." sqref="C165:C172">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75">
      <formula1>'Exercise Library'!$B$2:$B$319</formula1>
    </dataValidation>
    <dataValidation type="textLength" operator="lessThanOrEqual" allowBlank="1" showErrorMessage="1" error="200 characters or fewer." sqref="C176">
      <formula1>200</formula1>
    </dataValidation>
    <dataValidation type="list" allowBlank="1" showInputMessage="1" prompt="Same letter = same superset" showErrorMessage="1" errorStyle="stop" errorTitle="Pick from the list" error="Choose one of the options in the dropdown." sqref="C177">
      <formula1>Lists!$E$2:$E$11</formula1>
    </dataValidation>
    <dataValidation type="list" allowBlank="1" showErrorMessage="1" errorStyle="stop" errorTitle="Pick from the list" error="Choose one of the options in the dropdown." sqref="C179:C18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89">
      <formula1>'Exercise Library'!$B$2:$B$319</formula1>
    </dataValidation>
    <dataValidation type="textLength" operator="lessThanOrEqual" allowBlank="1" showErrorMessage="1" error="200 characters or fewer." sqref="C190">
      <formula1>200</formula1>
    </dataValidation>
    <dataValidation type="list" allowBlank="1" showInputMessage="1" prompt="Same letter = same superset" showErrorMessage="1" errorStyle="stop" errorTitle="Pick from the list" error="Choose one of the options in the dropdown." sqref="C191">
      <formula1>Lists!$E$2:$E$11</formula1>
    </dataValidation>
    <dataValidation type="list" allowBlank="1" showErrorMessage="1" errorStyle="stop" errorTitle="Pick from the list" error="Choose one of the options in the dropdown." sqref="C193:C20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03">
      <formula1>'Exercise Library'!$B$2:$B$319</formula1>
    </dataValidation>
    <dataValidation type="textLength" operator="lessThanOrEqual" allowBlank="1" showErrorMessage="1" error="200 characters or fewer." sqref="C204">
      <formula1>200</formula1>
    </dataValidation>
    <dataValidation type="list" allowBlank="1" showInputMessage="1" prompt="Same letter = same superset" showErrorMessage="1" errorStyle="stop" errorTitle="Pick from the list" error="Choose one of the options in the dropdown." sqref="C205">
      <formula1>Lists!$E$2:$E$11</formula1>
    </dataValidation>
    <dataValidation type="list" allowBlank="1" showErrorMessage="1" errorStyle="stop" errorTitle="Pick from the list" error="Choose one of the options in the dropdown." sqref="C207:C21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1">
      <formula1>'Exercise Library'!$B$2:$B$319</formula1>
    </dataValidation>
    <dataValidation type="textLength" operator="lessThanOrEqual" allowBlank="1" showErrorMessage="1" error="200 characters or fewer." sqref="C22">
      <formula1>200</formula1>
    </dataValidation>
    <dataValidation type="list" allowBlank="1" showInputMessage="1" prompt="Same letter = same superset" showErrorMessage="1" errorStyle="stop" errorTitle="Pick from the list" error="Choose one of the options in the dropdown." sqref="C23">
      <formula1>Lists!$E$2:$E$11</formula1>
    </dataValidation>
    <dataValidation type="list" allowBlank="1" showErrorMessage="1" errorStyle="stop" errorTitle="Pick from the list" error="Choose one of the options in the dropdown." sqref="C25:C32">
      <formula1>Lists!$B$2:$B$9</formula1>
    </dataValidation>
    <dataValidation type="textLength" operator="lessThanOrEqual" allowBlank="1" showErrorMessage="1" error="200 characters or fewer." sqref="C3">
      <formula1>200</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35">
      <formula1>'Exercise Library'!$B$2:$B$319</formula1>
    </dataValidation>
    <dataValidation type="textLength" operator="lessThanOrEqual" allowBlank="1" showErrorMessage="1" error="200 characters or fewer." sqref="C36">
      <formula1>200</formula1>
    </dataValidation>
    <dataValidation type="list" allowBlank="1" showInputMessage="1" prompt="Same letter = same superset" showErrorMessage="1" errorStyle="stop" errorTitle="Pick from the list" error="Choose one of the options in the dropdown." sqref="C37">
      <formula1>Lists!$E$2:$E$11</formula1>
    </dataValidation>
    <dataValidation type="list" allowBlank="1" showErrorMessage="1" errorStyle="stop" errorTitle="Pick from the list" error="Choose one of the options in the dropdown." sqref="C39:C4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49">
      <formula1>'Exercise Library'!$B$2:$B$319</formula1>
    </dataValidation>
    <dataValidation type="textLength" operator="lessThanOrEqual" allowBlank="1" showErrorMessage="1" error="200 characters or fewer." sqref="C50">
      <formula1>200</formula1>
    </dataValidation>
    <dataValidation type="list" allowBlank="1" showInputMessage="1" prompt="Same letter = same superset" showErrorMessage="1" errorStyle="stop" errorTitle="Pick from the list" error="Choose one of the options in the dropdown." sqref="C51">
      <formula1>Lists!$E$2:$E$11</formula1>
    </dataValidation>
    <dataValidation type="list" allowBlank="1" showErrorMessage="1" errorStyle="stop" errorTitle="Pick from the list" error="Choose one of the options in the dropdown." sqref="C53:C6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63">
      <formula1>'Exercise Library'!$B$2:$B$319</formula1>
    </dataValidation>
    <dataValidation type="textLength" operator="lessThanOrEqual" allowBlank="1" showErrorMessage="1" error="200 characters or fewer." sqref="C64">
      <formula1>200</formula1>
    </dataValidation>
    <dataValidation type="list" allowBlank="1" showInputMessage="1" prompt="Same letter = same superset" showErrorMessage="1" errorStyle="stop" errorTitle="Pick from the list" error="Choose one of the options in the dropdown." sqref="C65">
      <formula1>Lists!$E$2:$E$11</formula1>
    </dataValidation>
    <dataValidation type="list" allowBlank="1" showErrorMessage="1" errorStyle="stop" errorTitle="Pick from the list" error="Choose one of the options in the dropdown." sqref="C67:C7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
      <formula1>'Exercise Library'!$B$2:$B$319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7">
      <formula1>'Exercise Library'!$B$2:$B$319</formula1>
    </dataValidation>
    <dataValidation type="textLength" operator="lessThanOrEqual" allowBlank="1" showErrorMessage="1" error="200 characters or fewer." sqref="C78">
      <formula1>200</formula1>
    </dataValidation>
    <dataValidation type="list" allowBlank="1" showInputMessage="1" prompt="Same letter = same superset" showErrorMessage="1" errorStyle="stop" errorTitle="Pick from the list" error="Choose one of the options in the dropdown." sqref="C79">
      <formula1>Lists!$E$2:$E$11</formula1>
    </dataValidation>
    <dataValidation type="textLength" operator="lessThanOrEqual" allowBlank="1" showErrorMessage="1" error="200 characters or fewer." sqref="C8">
      <formula1>200</formula1>
    </dataValidation>
    <dataValidation type="list" allowBlank="1" showErrorMessage="1" errorStyle="stop" errorTitle="Pick from the list" error="Choose one of the options in the dropdown." sqref="C81:C88">
      <formula1>Lists!$B$2:$B$9</formula1>
    </dataValidation>
    <dataValidation type="list" allowBlank="1" showInputMessage="1" prompt="Same letter = same superset" showErrorMessage="1" errorStyle="stop" errorTitle="Pick from the list" error="Choose one of the options in the dropdown." sqref="C9">
      <formula1>Lists!$E$2:$E$11</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91">
      <formula1>'Exercise Library'!$B$2:$B$319</formula1>
    </dataValidation>
    <dataValidation type="textLength" operator="lessThanOrEqual" allowBlank="1" showErrorMessage="1" error="200 characters or fewer." sqref="C92">
      <formula1>200</formula1>
    </dataValidation>
    <dataValidation type="list" allowBlank="1" showInputMessage="1" prompt="Same letter = same superset" showErrorMessage="1" errorStyle="stop" errorTitle="Pick from the list" error="Choose one of the options in the dropdown." sqref="C93">
      <formula1>Lists!$E$2:$E$11</formula1>
    </dataValidation>
    <dataValidation type="list" allowBlank="1" showErrorMessage="1" errorStyle="stop" errorTitle="Pick from the list" error="Choose one of the options in the dropdown." sqref="C95:C102">
      <formula1>Lists!$B$2:$B$9</formula1>
    </dataValidation>
    <dataValidation type="decimal" allowBlank="1" showErrorMessage="1" error="Goal weight: a number from 0 to 2000 (lbs)." sqref="D109:D116">
      <formula1>0</formula1>
      <formula2>2000</formula2>
    </dataValidation>
    <dataValidation type="decimal" allowBlank="1" showErrorMessage="1" error="Goal weight: a number from 0 to 2000 (lbs)." sqref="D11:D18">
      <formula1>0</formula1>
      <formula2>2000</formula2>
    </dataValidation>
    <dataValidation type="decimal" allowBlank="1" showErrorMessage="1" error="Goal weight: a number from 0 to 2000 (lbs)." sqref="D123:D130">
      <formula1>0</formula1>
      <formula2>2000</formula2>
    </dataValidation>
    <dataValidation type="decimal" allowBlank="1" showErrorMessage="1" error="Goal weight: a number from 0 to 2000 (lbs)." sqref="D137:D144">
      <formula1>0</formula1>
      <formula2>2000</formula2>
    </dataValidation>
    <dataValidation type="decimal" allowBlank="1" showErrorMessage="1" error="Goal weight: a number from 0 to 2000 (lbs)." sqref="D151:D158">
      <formula1>0</formula1>
      <formula2>2000</formula2>
    </dataValidation>
    <dataValidation type="decimal" allowBlank="1" showErrorMessage="1" error="Goal weight: a number from 0 to 2000 (lbs)." sqref="D165:D172">
      <formula1>0</formula1>
      <formula2>2000</formula2>
    </dataValidation>
    <dataValidation type="decimal" allowBlank="1" showErrorMessage="1" error="Goal weight: a number from 0 to 2000 (lbs)." sqref="D179:D186">
      <formula1>0</formula1>
      <formula2>2000</formula2>
    </dataValidation>
    <dataValidation type="decimal" allowBlank="1" showErrorMessage="1" error="Goal weight: a number from 0 to 2000 (lbs)." sqref="D193:D200">
      <formula1>0</formula1>
      <formula2>2000</formula2>
    </dataValidation>
    <dataValidation type="decimal" allowBlank="1" showErrorMessage="1" error="Goal weight: a number from 0 to 2000 (lbs)." sqref="D207:D214">
      <formula1>0</formula1>
      <formula2>2000</formula2>
    </dataValidation>
    <dataValidation type="decimal" allowBlank="1" showErrorMessage="1" error="Goal weight: a number from 0 to 2000 (lbs)." sqref="D25:D32">
      <formula1>0</formula1>
      <formula2>2000</formula2>
    </dataValidation>
    <dataValidation type="decimal" allowBlank="1" showErrorMessage="1" error="Goal weight: a number from 0 to 2000 (lbs)." sqref="D39:D46">
      <formula1>0</formula1>
      <formula2>2000</formula2>
    </dataValidation>
    <dataValidation type="decimal" allowBlank="1" showErrorMessage="1" error="Goal weight: a number from 0 to 2000 (lbs)." sqref="D53:D60">
      <formula1>0</formula1>
      <formula2>2000</formula2>
    </dataValidation>
    <dataValidation type="decimal" allowBlank="1" showErrorMessage="1" error="Goal weight: a number from 0 to 2000 (lbs)." sqref="D67:D74">
      <formula1>0</formula1>
      <formula2>2000</formula2>
    </dataValidation>
    <dataValidation type="decimal" allowBlank="1" showErrorMessage="1" error="Goal weight: a number from 0 to 2000 (lbs)." sqref="D81:D88">
      <formula1>0</formula1>
      <formula2>2000</formula2>
    </dataValidation>
    <dataValidation type="decimal" allowBlank="1" showErrorMessage="1" error="Goal weight: a number from 0 to 2000 (lbs)." sqref="D95:D102">
      <formula1>0</formula1>
      <formula2>2000</formula2>
    </dataValidation>
    <dataValidation type="list" allowBlank="1" showInputMessage="1" prompt="Muscle group for the custom exercise" showErrorMessage="1" errorStyle="stop" errorTitle="Pick from the list" error="Choose one of the options in the dropdown." sqref="E106">
      <formula1>Lists!$D$2:$D$15</formula1>
    </dataValidation>
    <dataValidation type="whole" allowBlank="1" showErrorMessage="1" error="Goal reps: a whole number from 0 to 100." sqref="E109:E116">
      <formula1>0</formula1>
      <formula2>100</formula2>
    </dataValidation>
    <dataValidation type="whole" allowBlank="1" showErrorMessage="1" error="Goal reps: a whole number from 0 to 100." sqref="E11:E18">
      <formula1>0</formula1>
      <formula2>100</formula2>
    </dataValidation>
    <dataValidation type="list" allowBlank="1" showInputMessage="1" prompt="Muscle group for the custom exercise" showErrorMessage="1" errorStyle="stop" errorTitle="Pick from the list" error="Choose one of the options in the dropdown." sqref="E120">
      <formula1>Lists!$D$2:$D$15</formula1>
    </dataValidation>
    <dataValidation type="whole" allowBlank="1" showErrorMessage="1" error="Goal reps: a whole number from 0 to 100." sqref="E123:E130">
      <formula1>0</formula1>
      <formula2>100</formula2>
    </dataValidation>
    <dataValidation type="list" allowBlank="1" showInputMessage="1" prompt="Muscle group for the custom exercise" showErrorMessage="1" errorStyle="stop" errorTitle="Pick from the list" error="Choose one of the options in the dropdown." sqref="E134">
      <formula1>Lists!$D$2:$D$15</formula1>
    </dataValidation>
    <dataValidation type="whole" allowBlank="1" showErrorMessage="1" error="Goal reps: a whole number from 0 to 100." sqref="E137:E144">
      <formula1>0</formula1>
      <formula2>100</formula2>
    </dataValidation>
    <dataValidation type="list" allowBlank="1" showInputMessage="1" prompt="Muscle group for the custom exercise" showErrorMessage="1" errorStyle="stop" errorTitle="Pick from the list" error="Choose one of the options in the dropdown." sqref="E148">
      <formula1>Lists!$D$2:$D$15</formula1>
    </dataValidation>
    <dataValidation type="whole" allowBlank="1" showErrorMessage="1" error="Goal reps: a whole number from 0 to 100." sqref="E151:E158">
      <formula1>0</formula1>
      <formula2>100</formula2>
    </dataValidation>
    <dataValidation type="list" allowBlank="1" showInputMessage="1" prompt="Muscle group for the custom exercise" showErrorMessage="1" errorStyle="stop" errorTitle="Pick from the list" error="Choose one of the options in the dropdown." sqref="E162">
      <formula1>Lists!$D$2:$D$15</formula1>
    </dataValidation>
    <dataValidation type="whole" allowBlank="1" showErrorMessage="1" error="Goal reps: a whole number from 0 to 100." sqref="E165:E172">
      <formula1>0</formula1>
      <formula2>100</formula2>
    </dataValidation>
    <dataValidation type="list" allowBlank="1" showInputMessage="1" prompt="Muscle group for the custom exercise" showErrorMessage="1" errorStyle="stop" errorTitle="Pick from the list" error="Choose one of the options in the dropdown." sqref="E176">
      <formula1>Lists!$D$2:$D$15</formula1>
    </dataValidation>
    <dataValidation type="whole" allowBlank="1" showErrorMessage="1" error="Goal reps: a whole number from 0 to 100." sqref="E179:E186">
      <formula1>0</formula1>
      <formula2>100</formula2>
    </dataValidation>
    <dataValidation type="list" allowBlank="1" showInputMessage="1" prompt="Muscle group for the custom exercise" showErrorMessage="1" errorStyle="stop" errorTitle="Pick from the list" error="Choose one of the options in the dropdown." sqref="E190">
      <formula1>Lists!$D$2:$D$15</formula1>
    </dataValidation>
    <dataValidation type="whole" allowBlank="1" showErrorMessage="1" error="Goal reps: a whole number from 0 to 100." sqref="E193:E200">
      <formula1>0</formula1>
      <formula2>100</formula2>
    </dataValidation>
    <dataValidation type="list" allowBlank="1" showInputMessage="1" prompt="Muscle group for the custom exercise" showErrorMessage="1" errorStyle="stop" errorTitle="Pick from the list" error="Choose one of the options in the dropdown." sqref="E204">
      <formula1>Lists!$D$2:$D$15</formula1>
    </dataValidation>
    <dataValidation type="whole" allowBlank="1" showErrorMessage="1" error="Goal reps: a whole number from 0 to 100." sqref="E207:E214">
      <formula1>0</formula1>
      <formula2>100</formula2>
    </dataValidation>
    <dataValidation type="list" allowBlank="1" showInputMessage="1" prompt="Muscle group for the custom exercise" showErrorMessage="1" errorStyle="stop" errorTitle="Pick from the list" error="Choose one of the options in the dropdown." sqref="E22">
      <formula1>Lists!$D$2:$D$15</formula1>
    </dataValidation>
    <dataValidation type="whole" allowBlank="1" showErrorMessage="1" error="Goal reps: a whole number from 0 to 100." sqref="E25:E32">
      <formula1>0</formula1>
      <formula2>100</formula2>
    </dataValidation>
    <dataValidation type="list" allowBlank="1" showInputMessage="1" prompt="Muscle group for the custom exercise" showErrorMessage="1" errorStyle="stop" errorTitle="Pick from the list" error="Choose one of the options in the dropdown." sqref="E36">
      <formula1>Lists!$D$2:$D$15</formula1>
    </dataValidation>
    <dataValidation type="whole" allowBlank="1" showErrorMessage="1" error="Goal reps: a whole number from 0 to 100." sqref="E39:E46">
      <formula1>0</formula1>
      <formula2>100</formula2>
    </dataValidation>
    <dataValidation type="list" allowBlank="1" showInputMessage="1" prompt="Muscle group for the custom exercise" showErrorMessage="1" errorStyle="stop" errorTitle="Pick from the list" error="Choose one of the options in the dropdown." sqref="E50">
      <formula1>Lists!$D$2:$D$15</formula1>
    </dataValidation>
    <dataValidation type="whole" allowBlank="1" showErrorMessage="1" error="Goal reps: a whole number from 0 to 100." sqref="E53:E60">
      <formula1>0</formula1>
      <formula2>100</formula2>
    </dataValidation>
    <dataValidation type="list" allowBlank="1" showInputMessage="1" prompt="Muscle group for the custom exercise" showErrorMessage="1" errorStyle="stop" errorTitle="Pick from the list" error="Choose one of the options in the dropdown." sqref="E64">
      <formula1>Lists!$D$2:$D$15</formula1>
    </dataValidation>
    <dataValidation type="whole" allowBlank="1" showErrorMessage="1" error="Goal reps: a whole number from 0 to 100." sqref="E67:E74">
      <formula1>0</formula1>
      <formula2>100</formula2>
    </dataValidation>
    <dataValidation type="list" allowBlank="1" showInputMessage="1" prompt="Muscle group for the custom exercise" showErrorMessage="1" errorStyle="stop" errorTitle="Pick from the list" error="Choose one of the options in the dropdown." sqref="E78">
      <formula1>Lists!$D$2:$D$15</formula1>
    </dataValidation>
    <dataValidation type="list" allowBlank="1" showInputMessage="1" prompt="Muscle group for the custom exercise" showErrorMessage="1" errorStyle="stop" errorTitle="Pick from the list" error="Choose one of the options in the dropdown." sqref="E8">
      <formula1>Lists!$D$2:$D$15</formula1>
    </dataValidation>
    <dataValidation type="whole" allowBlank="1" showErrorMessage="1" error="Goal reps: a whole number from 0 to 100." sqref="E81:E88">
      <formula1>0</formula1>
      <formula2>100</formula2>
    </dataValidation>
    <dataValidation type="list" allowBlank="1" showInputMessage="1" prompt="Muscle group for the custom exercise" showErrorMessage="1" errorStyle="stop" errorTitle="Pick from the list" error="Choose one of the options in the dropdown." sqref="E92">
      <formula1>Lists!$D$2:$D$15</formula1>
    </dataValidation>
    <dataValidation type="whole" allowBlank="1" showErrorMessage="1" error="Goal reps: a whole number from 0 to 100." sqref="E95:E102">
      <formula1>0</formula1>
      <formula2>100</formula2>
    </dataValidation>
    <dataValidation type="textLength" operator="lessThanOrEqual" allowBlank="1" showErrorMessage="1" error="Keep the rep range short, e.g. 8-12." sqref="F109:F116">
      <formula1>20</formula1>
    </dataValidation>
    <dataValidation type="textLength" operator="lessThanOrEqual" allowBlank="1" showErrorMessage="1" error="Keep the rep range short, e.g. 8-12." sqref="F11:F18">
      <formula1>20</formula1>
    </dataValidation>
    <dataValidation type="textLength" operator="lessThanOrEqual" allowBlank="1" showErrorMessage="1" error="Keep the rep range short, e.g. 8-12." sqref="F123:F130">
      <formula1>20</formula1>
    </dataValidation>
    <dataValidation type="textLength" operator="lessThanOrEqual" allowBlank="1" showErrorMessage="1" error="Keep the rep range short, e.g. 8-12." sqref="F137:F144">
      <formula1>20</formula1>
    </dataValidation>
    <dataValidation type="textLength" operator="lessThanOrEqual" allowBlank="1" showErrorMessage="1" error="Keep the rep range short, e.g. 8-12." sqref="F151:F158">
      <formula1>20</formula1>
    </dataValidation>
    <dataValidation type="textLength" operator="lessThanOrEqual" allowBlank="1" showErrorMessage="1" error="Keep the rep range short, e.g. 8-12." sqref="F165:F172">
      <formula1>20</formula1>
    </dataValidation>
    <dataValidation type="textLength" operator="lessThanOrEqual" allowBlank="1" showErrorMessage="1" error="Keep the rep range short, e.g. 8-12." sqref="F179:F186">
      <formula1>20</formula1>
    </dataValidation>
    <dataValidation type="textLength" operator="lessThanOrEqual" allowBlank="1" showErrorMessage="1" error="Keep the rep range short, e.g. 8-12." sqref="F193:F200">
      <formula1>20</formula1>
    </dataValidation>
    <dataValidation type="textLength" operator="lessThanOrEqual" allowBlank="1" showErrorMessage="1" error="Keep the rep range short, e.g. 8-12." sqref="F207:F214">
      <formula1>20</formula1>
    </dataValidation>
    <dataValidation type="textLength" operator="lessThanOrEqual" allowBlank="1" showErrorMessage="1" error="Keep the rep range short, e.g. 8-12." sqref="F25:F32">
      <formula1>20</formula1>
    </dataValidation>
    <dataValidation type="textLength" operator="lessThanOrEqual" allowBlank="1" showErrorMessage="1" error="Keep the rep range short, e.g. 8-12." sqref="F39:F46">
      <formula1>20</formula1>
    </dataValidation>
    <dataValidation type="textLength" operator="lessThanOrEqual" allowBlank="1" showErrorMessage="1" error="Keep the rep range short, e.g. 8-12." sqref="F53:F60">
      <formula1>20</formula1>
    </dataValidation>
    <dataValidation type="textLength" operator="lessThanOrEqual" allowBlank="1" showErrorMessage="1" error="Keep the rep range short, e.g. 8-12." sqref="F67:F74">
      <formula1>20</formula1>
    </dataValidation>
    <dataValidation type="textLength" operator="lessThanOrEqual" allowBlank="1" showErrorMessage="1" error="Keep the rep range short, e.g. 8-12." sqref="F81:F88">
      <formula1>20</formula1>
    </dataValidation>
    <dataValidation type="textLength" operator="lessThanOrEqual" allowBlank="1" showErrorMessage="1" error="Keep the rep range short, e.g. 8-12." sqref="F95:F102">
      <formula1>20</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A6EA5"/>
  </sheetPr>
  <dimension ref="A1:Q214"/>
  <sheetViews>
    <sheetView workbookViewId="0" showGridLines="0">
      <pane ySplit="4" topLeftCell="A5" activePane="bottomLeft" state="frozen"/>
      <selection pane="bottomLeft"/>
    </sheetView>
  </sheetViews>
  <sheetFormatPr defaultRowHeight="15" outlineLevelRow="0" outlineLevelCol="0" x14ac:dyDescent="55"/>
  <cols>
    <col min="1" max="1" width="2" customWidth="1"/>
    <col min="2" max="2" width="13" customWidth="1"/>
    <col min="3" max="3" width="18" customWidth="1"/>
    <col min="4" max="6" width="14" customWidth="1"/>
    <col min="7" max="7" width="40" customWidth="1"/>
    <col min="14" max="14" width="9" hidden="1" customWidth="1"/>
    <col min="15" max="15" width="9" hidden="1" customWidth="1"/>
    <col min="16" max="16" width="9" hidden="1" customWidth="1"/>
    <col min="17" max="17" width="9" hidden="1" customWidth="1"/>
  </cols>
  <sheetData>
    <row r="1" ht="30" customHeight="1" spans="1:15" x14ac:dyDescent="0.25">
      <c r="A1" s="14">
        <f>IF($O$1="FILL","✅  FILL OUT THIS SHEET — Workout 4",IF($O$1="SKIP","⛔  NOT NEEDED — leave this sheet blank","Start on the Start sheet: answer question 1 first"))</f>
      </c>
      <c r="B1" s="14"/>
      <c r="C1" s="14"/>
      <c r="D1" s="14"/>
      <c r="E1" s="14"/>
      <c r="F1" s="14"/>
      <c r="G1" s="14"/>
      <c r="O1">
        <f>IF(Start!$C$4="Single Workout","SKIP",IF(Start!$C$4="Program",IF(4&lt;=N(Start!$C$9),"FILL","SKIP"),""))</f>
      </c>
    </row>
    <row r="2" spans="15:15" x14ac:dyDescent="0.25">
      <c r="O2">
        <f>IF($O$1="FILL",COUNTIF($G$3:$G$214,"⚠*"),0)</f>
      </c>
    </row>
    <row r="3" ht="26" customHeight="1" spans="2:7" x14ac:dyDescent="0.25">
      <c r="B3" s="15" t="s">
        <v>42</v>
      </c>
      <c r="C3" s="16"/>
      <c r="D3" s="16"/>
      <c r="E3" s="16"/>
      <c r="F3" s="16"/>
      <c r="G3" s="17">
        <f>IFERROR(IF($O$1&lt;&gt;"FILL","",IF($C$3="","⚠ Name this workout",IF($C$3="REST","⚠ REST is reserved for rest days — pick another name",IF(COUNTIF(Lists!$A$3:$A$14,$C$3)&gt;1,"⚠ Another workout has this name",IF(COUNTA($C$7,$C$8,$C$21,$C$22,$C$35,$C$36,$C$49,$C$50,$C$63,$C$64,$C$77,$C$78,$C$91,$C$92,$C$105,$C$106,$C$119,$C$120,$C$133,$C$134,$C$147,$C$148,$C$161,$C$162,$C$175,$C$176,$C$189,$C$190,$C$203,$C$204)=0,"⚠ Add at least one exercise","✓ Looks good"))))),"⚠ Check this row")</f>
      </c>
    </row>
    <row r="4" ht="30" customHeight="1" spans="2:6" x14ac:dyDescent="0.25">
      <c r="B4" s="15" t="s">
        <v>43</v>
      </c>
      <c r="C4" s="5"/>
      <c r="D4" s="5"/>
      <c r="E4" s="5"/>
      <c r="F4" s="5"/>
    </row>
    <row r="6" spans="2:6" x14ac:dyDescent="0.25">
      <c r="B6" s="18" t="s">
        <v>44</v>
      </c>
      <c r="C6" s="19"/>
      <c r="D6" s="19"/>
      <c r="E6" s="5"/>
      <c r="F6" s="5"/>
    </row>
    <row r="7" ht="24" customHeight="1" spans="2:16" x14ac:dyDescent="0.25">
      <c r="B7" s="20" t="s">
        <v>45</v>
      </c>
      <c r="C7" s="21"/>
      <c r="D7" s="21"/>
      <c r="E7" s="21"/>
      <c r="F7" s="21"/>
      <c r="G7" s="4">
        <f>IFERROR(IF(AND($C$7="",$C$8=""),IF(COUNTA($C$6:$F$6,$E$9,$C$11:$F$18)+COUNTA($E$8,$C$9)&gt;0,"⚠ Pick an exercise for this card",""),IF(AND($C$7&lt;&gt;"",$C$8&lt;&gt;""),"⚠ Use the library OR a custom exercise, not both",IF(AND($C$8&lt;&gt;"",$E$8=""),"⚠ Pick a muscle group for the custom exercise",IF(COUNT($E$11:$E$18)=0,"⚠ Enter Goal Reps for at least one set",IF(SUM($Q$11:$Q$18)&gt;0,"⚠ A set is missing Goal Reps",IF(IF($C$9="",1=0,COUNTIF($P$7:$P$214,$C$9)&lt;2),"⚠ Superset "&amp;$C$9&amp;" needs 2+ exercises",IF($C$7&lt;&gt;"",IFERROR("✓ "&amp;INDEX('Exercise Library'!$C$2:$C$319,MATCH($C$7,'Exercise Library'!$B$2:$B$319,0))&amp;IF(INDEX('Exercise Library'!$D$2:$D$319,MATCH($C$7,'Exercise Library'!$B$2:$B$319,0))="Yes"," · demo video","")&amp;" · "&amp;COUNT($E$11:$E$18)&amp;" sets","⚠ Not in the library — use Custom"),"✓ Custom ("&amp;$E$8&amp;") · "&amp;COUNT($E$11:$E$18)&amp;" sets"))))))),"⚠ Check this row")</f>
      </c>
      <c r="P7">
        <f>IF(OR($C$7&lt;&gt;"",$C$8&lt;&gt;""),$C$9,"")</f>
      </c>
    </row>
    <row r="8" spans="2:6" x14ac:dyDescent="0.25">
      <c r="B8" s="18" t="s">
        <v>46</v>
      </c>
      <c r="C8" s="5"/>
      <c r="D8" s="5"/>
      <c r="E8" s="5"/>
      <c r="F8" s="18" t="s">
        <v>47</v>
      </c>
    </row>
    <row r="9" ht="22" customHeight="1" spans="2:6" x14ac:dyDescent="0.25">
      <c r="B9" s="18" t="s">
        <v>48</v>
      </c>
      <c r="C9" s="22"/>
      <c r="D9" s="18" t="s">
        <v>49</v>
      </c>
      <c r="E9" s="5"/>
      <c r="F9" s="5"/>
    </row>
    <row r="10" spans="2:6" x14ac:dyDescent="0.25">
      <c r="B10" s="23" t="s">
        <v>50</v>
      </c>
      <c r="C10" s="23" t="s">
        <v>51</v>
      </c>
      <c r="D10" s="23" t="s">
        <v>52</v>
      </c>
      <c r="E10" s="23" t="s">
        <v>53</v>
      </c>
      <c r="F10" s="23" t="s">
        <v>54</v>
      </c>
    </row>
    <row r="11" spans="2:17" x14ac:dyDescent="0.25">
      <c r="B11" s="24">
        <v>1</v>
      </c>
      <c r="C11" s="22"/>
      <c r="D11" s="22"/>
      <c r="E11" s="22"/>
      <c r="F11" s="22"/>
      <c r="Q11">
        <f>IF(AND($E11="",COUNTA($C11:$D11,$F11)&gt;0),1,0)</f>
      </c>
    </row>
    <row r="12" spans="2:17" x14ac:dyDescent="0.25">
      <c r="B12" s="24">
        <v>2</v>
      </c>
      <c r="C12" s="22"/>
      <c r="D12" s="22"/>
      <c r="E12" s="22"/>
      <c r="F12" s="22"/>
      <c r="Q12">
        <f>IF(AND($E12="",COUNTA($C12:$D12,$F12)&gt;0),1,0)</f>
      </c>
    </row>
    <row r="13" spans="2:17" x14ac:dyDescent="0.25">
      <c r="B13" s="24">
        <v>3</v>
      </c>
      <c r="C13" s="22"/>
      <c r="D13" s="22"/>
      <c r="E13" s="22"/>
      <c r="F13" s="22"/>
      <c r="Q13">
        <f>IF(AND($E13="",COUNTA($C13:$D13,$F13)&gt;0),1,0)</f>
      </c>
    </row>
    <row r="14" spans="2:17" x14ac:dyDescent="0.25">
      <c r="B14" s="24">
        <v>4</v>
      </c>
      <c r="C14" s="22"/>
      <c r="D14" s="22"/>
      <c r="E14" s="22"/>
      <c r="F14" s="22"/>
      <c r="Q14">
        <f>IF(AND($E14="",COUNTA($C14:$D14,$F14)&gt;0),1,0)</f>
      </c>
    </row>
    <row r="15" spans="2:17" x14ac:dyDescent="0.25">
      <c r="B15" s="24">
        <v>5</v>
      </c>
      <c r="C15" s="22"/>
      <c r="D15" s="22"/>
      <c r="E15" s="22"/>
      <c r="F15" s="22"/>
      <c r="Q15">
        <f>IF(AND($E15="",COUNTA($C15:$D15,$F15)&gt;0),1,0)</f>
      </c>
    </row>
    <row r="16" spans="2:17" x14ac:dyDescent="0.25">
      <c r="B16" s="24">
        <v>6</v>
      </c>
      <c r="C16" s="22"/>
      <c r="D16" s="22"/>
      <c r="E16" s="22"/>
      <c r="F16" s="22"/>
      <c r="Q16">
        <f>IF(AND($E16="",COUNTA($C16:$D16,$F16)&gt;0),1,0)</f>
      </c>
    </row>
    <row r="17" spans="2:17" x14ac:dyDescent="0.25">
      <c r="B17" s="24">
        <v>7</v>
      </c>
      <c r="C17" s="22"/>
      <c r="D17" s="22"/>
      <c r="E17" s="22"/>
      <c r="F17" s="22"/>
      <c r="Q17">
        <f>IF(AND($E17="",COUNTA($C17:$D17,$F17)&gt;0),1,0)</f>
      </c>
    </row>
    <row r="18" spans="2:17" x14ac:dyDescent="0.25">
      <c r="B18" s="24">
        <v>8</v>
      </c>
      <c r="C18" s="22"/>
      <c r="D18" s="22"/>
      <c r="E18" s="22"/>
      <c r="F18" s="22"/>
      <c r="Q18">
        <f>IF(AND($E18="",COUNTA($C18:$D18,$F18)&gt;0),1,0)</f>
      </c>
    </row>
    <row r="20" spans="2:6" x14ac:dyDescent="0.25">
      <c r="B20" s="18" t="s">
        <v>44</v>
      </c>
      <c r="C20" s="19"/>
      <c r="D20" s="19"/>
      <c r="E20" s="5"/>
      <c r="F20" s="5"/>
    </row>
    <row r="21" ht="24" customHeight="1" spans="2:16" x14ac:dyDescent="0.25">
      <c r="B21" s="20" t="s">
        <v>55</v>
      </c>
      <c r="C21" s="21"/>
      <c r="D21" s="21"/>
      <c r="E21" s="21"/>
      <c r="F21" s="21"/>
      <c r="G21" s="4">
        <f>IFERROR(IF(AND($C$21="",$C$22=""),IF(COUNTA($C$20:$F$20,$E$23,$C$25:$F$32)+COUNTA($E$22,$C$23)&gt;0,"⚠ Pick an exercise for this card",""),IF(AND($C$21&lt;&gt;"",$C$22&lt;&gt;""),"⚠ Use the library OR a custom exercise, not both",IF(AND($C$22&lt;&gt;"",$E$22=""),"⚠ Pick a muscle group for the custom exercise",IF(COUNT($E$25:$E$32)=0,"⚠ Enter Goal Reps for at least one set",IF(SUM($Q$25:$Q$32)&gt;0,"⚠ A set is missing Goal Reps",IF(IF($C$23="",1=0,COUNTIF($P$7:$P$214,$C$23)&lt;2),"⚠ Superset "&amp;$C$23&amp;" needs 2+ exercises",IF($C$21&lt;&gt;"",IFERROR("✓ "&amp;INDEX('Exercise Library'!$C$2:$C$319,MATCH($C$21,'Exercise Library'!$B$2:$B$319,0))&amp;IF(INDEX('Exercise Library'!$D$2:$D$319,MATCH($C$21,'Exercise Library'!$B$2:$B$319,0))="Yes"," · demo video","")&amp;" · "&amp;COUNT($E$25:$E$32)&amp;" sets","⚠ Not in the library — use Custom"),"✓ Custom ("&amp;$E$22&amp;") · "&amp;COUNT($E$25:$E$32)&amp;" sets"))))))),"⚠ Check this row")</f>
      </c>
      <c r="P21">
        <f>IF(OR($C$21&lt;&gt;"",$C$22&lt;&gt;""),$C$23,"")</f>
      </c>
    </row>
    <row r="22" spans="2:6" x14ac:dyDescent="0.25">
      <c r="B22" s="18" t="s">
        <v>46</v>
      </c>
      <c r="C22" s="5"/>
      <c r="D22" s="5"/>
      <c r="E22" s="5"/>
      <c r="F22" s="18" t="s">
        <v>47</v>
      </c>
    </row>
    <row r="23" ht="22" customHeight="1" spans="2:6" x14ac:dyDescent="0.25">
      <c r="B23" s="18" t="s">
        <v>48</v>
      </c>
      <c r="C23" s="22"/>
      <c r="D23" s="18" t="s">
        <v>49</v>
      </c>
      <c r="E23" s="5"/>
      <c r="F23" s="5"/>
    </row>
    <row r="24" spans="2:6" x14ac:dyDescent="0.25">
      <c r="B24" s="23" t="s">
        <v>50</v>
      </c>
      <c r="C24" s="23" t="s">
        <v>51</v>
      </c>
      <c r="D24" s="23" t="s">
        <v>52</v>
      </c>
      <c r="E24" s="23" t="s">
        <v>53</v>
      </c>
      <c r="F24" s="23" t="s">
        <v>54</v>
      </c>
    </row>
    <row r="25" spans="2:17" x14ac:dyDescent="0.25">
      <c r="B25" s="24">
        <v>1</v>
      </c>
      <c r="C25" s="22"/>
      <c r="D25" s="22"/>
      <c r="E25" s="22"/>
      <c r="F25" s="22"/>
      <c r="Q25">
        <f>IF(AND($E25="",COUNTA($C25:$D25,$F25)&gt;0),1,0)</f>
      </c>
    </row>
    <row r="26" spans="2:17" x14ac:dyDescent="0.25">
      <c r="B26" s="24">
        <v>2</v>
      </c>
      <c r="C26" s="22"/>
      <c r="D26" s="22"/>
      <c r="E26" s="22"/>
      <c r="F26" s="22"/>
      <c r="Q26">
        <f>IF(AND($E26="",COUNTA($C26:$D26,$F26)&gt;0),1,0)</f>
      </c>
    </row>
    <row r="27" spans="2:17" x14ac:dyDescent="0.25">
      <c r="B27" s="24">
        <v>3</v>
      </c>
      <c r="C27" s="22"/>
      <c r="D27" s="22"/>
      <c r="E27" s="22"/>
      <c r="F27" s="22"/>
      <c r="Q27">
        <f>IF(AND($E27="",COUNTA($C27:$D27,$F27)&gt;0),1,0)</f>
      </c>
    </row>
    <row r="28" spans="2:17" x14ac:dyDescent="0.25">
      <c r="B28" s="24">
        <v>4</v>
      </c>
      <c r="C28" s="22"/>
      <c r="D28" s="22"/>
      <c r="E28" s="22"/>
      <c r="F28" s="22"/>
      <c r="Q28">
        <f>IF(AND($E28="",COUNTA($C28:$D28,$F28)&gt;0),1,0)</f>
      </c>
    </row>
    <row r="29" spans="2:17" x14ac:dyDescent="0.25">
      <c r="B29" s="24">
        <v>5</v>
      </c>
      <c r="C29" s="22"/>
      <c r="D29" s="22"/>
      <c r="E29" s="22"/>
      <c r="F29" s="22"/>
      <c r="Q29">
        <f>IF(AND($E29="",COUNTA($C29:$D29,$F29)&gt;0),1,0)</f>
      </c>
    </row>
    <row r="30" spans="2:17" x14ac:dyDescent="0.25">
      <c r="B30" s="24">
        <v>6</v>
      </c>
      <c r="C30" s="22"/>
      <c r="D30" s="22"/>
      <c r="E30" s="22"/>
      <c r="F30" s="22"/>
      <c r="Q30">
        <f>IF(AND($E30="",COUNTA($C30:$D30,$F30)&gt;0),1,0)</f>
      </c>
    </row>
    <row r="31" spans="2:17" x14ac:dyDescent="0.25">
      <c r="B31" s="24">
        <v>7</v>
      </c>
      <c r="C31" s="22"/>
      <c r="D31" s="22"/>
      <c r="E31" s="22"/>
      <c r="F31" s="22"/>
      <c r="Q31">
        <f>IF(AND($E31="",COUNTA($C31:$D31,$F31)&gt;0),1,0)</f>
      </c>
    </row>
    <row r="32" spans="2:17" x14ac:dyDescent="0.25">
      <c r="B32" s="24">
        <v>8</v>
      </c>
      <c r="C32" s="22"/>
      <c r="D32" s="22"/>
      <c r="E32" s="22"/>
      <c r="F32" s="22"/>
      <c r="Q32">
        <f>IF(AND($E32="",COUNTA($C32:$D32,$F32)&gt;0),1,0)</f>
      </c>
    </row>
    <row r="34" spans="2:6" x14ac:dyDescent="0.25">
      <c r="B34" s="18" t="s">
        <v>44</v>
      </c>
      <c r="C34" s="19"/>
      <c r="D34" s="19"/>
      <c r="E34" s="5"/>
      <c r="F34" s="5"/>
    </row>
    <row r="35" ht="24" customHeight="1" spans="2:16" x14ac:dyDescent="0.25">
      <c r="B35" s="20" t="s">
        <v>56</v>
      </c>
      <c r="C35" s="21"/>
      <c r="D35" s="21"/>
      <c r="E35" s="21"/>
      <c r="F35" s="21"/>
      <c r="G35" s="4">
        <f>IFERROR(IF(AND($C$35="",$C$36=""),IF(COUNTA($C$34:$F$34,$E$37,$C$39:$F$46)+COUNTA($E$36,$C$37)&gt;0,"⚠ Pick an exercise for this card",""),IF(AND($C$35&lt;&gt;"",$C$36&lt;&gt;""),"⚠ Use the library OR a custom exercise, not both",IF(AND($C$36&lt;&gt;"",$E$36=""),"⚠ Pick a muscle group for the custom exercise",IF(COUNT($E$39:$E$46)=0,"⚠ Enter Goal Reps for at least one set",IF(SUM($Q$39:$Q$46)&gt;0,"⚠ A set is missing Goal Reps",IF(IF($C$37="",1=0,COUNTIF($P$7:$P$214,$C$37)&lt;2),"⚠ Superset "&amp;$C$37&amp;" needs 2+ exercises",IF($C$35&lt;&gt;"",IFERROR("✓ "&amp;INDEX('Exercise Library'!$C$2:$C$319,MATCH($C$35,'Exercise Library'!$B$2:$B$319,0))&amp;IF(INDEX('Exercise Library'!$D$2:$D$319,MATCH($C$35,'Exercise Library'!$B$2:$B$319,0))="Yes"," · demo video","")&amp;" · "&amp;COUNT($E$39:$E$46)&amp;" sets","⚠ Not in the library — use Custom"),"✓ Custom ("&amp;$E$36&amp;") · "&amp;COUNT($E$39:$E$46)&amp;" sets"))))))),"⚠ Check this row")</f>
      </c>
      <c r="P35">
        <f>IF(OR($C$35&lt;&gt;"",$C$36&lt;&gt;""),$C$37,"")</f>
      </c>
    </row>
    <row r="36" spans="2:6" x14ac:dyDescent="0.25">
      <c r="B36" s="18" t="s">
        <v>46</v>
      </c>
      <c r="C36" s="5"/>
      <c r="D36" s="5"/>
      <c r="E36" s="5"/>
      <c r="F36" s="18" t="s">
        <v>47</v>
      </c>
    </row>
    <row r="37" ht="22" customHeight="1" spans="2:6" x14ac:dyDescent="0.25">
      <c r="B37" s="18" t="s">
        <v>48</v>
      </c>
      <c r="C37" s="22"/>
      <c r="D37" s="18" t="s">
        <v>49</v>
      </c>
      <c r="E37" s="5"/>
      <c r="F37" s="5"/>
    </row>
    <row r="38" spans="2:6" x14ac:dyDescent="0.25">
      <c r="B38" s="23" t="s">
        <v>50</v>
      </c>
      <c r="C38" s="23" t="s">
        <v>51</v>
      </c>
      <c r="D38" s="23" t="s">
        <v>52</v>
      </c>
      <c r="E38" s="23" t="s">
        <v>53</v>
      </c>
      <c r="F38" s="23" t="s">
        <v>54</v>
      </c>
    </row>
    <row r="39" spans="2:17" x14ac:dyDescent="0.25">
      <c r="B39" s="24">
        <v>1</v>
      </c>
      <c r="C39" s="22"/>
      <c r="D39" s="22"/>
      <c r="E39" s="22"/>
      <c r="F39" s="22"/>
      <c r="Q39">
        <f>IF(AND($E39="",COUNTA($C39:$D39,$F39)&gt;0),1,0)</f>
      </c>
    </row>
    <row r="40" spans="2:17" x14ac:dyDescent="0.25">
      <c r="B40" s="24">
        <v>2</v>
      </c>
      <c r="C40" s="22"/>
      <c r="D40" s="22"/>
      <c r="E40" s="22"/>
      <c r="F40" s="22"/>
      <c r="Q40">
        <f>IF(AND($E40="",COUNTA($C40:$D40,$F40)&gt;0),1,0)</f>
      </c>
    </row>
    <row r="41" spans="2:17" x14ac:dyDescent="0.25">
      <c r="B41" s="24">
        <v>3</v>
      </c>
      <c r="C41" s="22"/>
      <c r="D41" s="22"/>
      <c r="E41" s="22"/>
      <c r="F41" s="22"/>
      <c r="Q41">
        <f>IF(AND($E41="",COUNTA($C41:$D41,$F41)&gt;0),1,0)</f>
      </c>
    </row>
    <row r="42" spans="2:17" x14ac:dyDescent="0.25">
      <c r="B42" s="24">
        <v>4</v>
      </c>
      <c r="C42" s="22"/>
      <c r="D42" s="22"/>
      <c r="E42" s="22"/>
      <c r="F42" s="22"/>
      <c r="Q42">
        <f>IF(AND($E42="",COUNTA($C42:$D42,$F42)&gt;0),1,0)</f>
      </c>
    </row>
    <row r="43" spans="2:17" x14ac:dyDescent="0.25">
      <c r="B43" s="24">
        <v>5</v>
      </c>
      <c r="C43" s="22"/>
      <c r="D43" s="22"/>
      <c r="E43" s="22"/>
      <c r="F43" s="22"/>
      <c r="Q43">
        <f>IF(AND($E43="",COUNTA($C43:$D43,$F43)&gt;0),1,0)</f>
      </c>
    </row>
    <row r="44" spans="2:17" x14ac:dyDescent="0.25">
      <c r="B44" s="24">
        <v>6</v>
      </c>
      <c r="C44" s="22"/>
      <c r="D44" s="22"/>
      <c r="E44" s="22"/>
      <c r="F44" s="22"/>
      <c r="Q44">
        <f>IF(AND($E44="",COUNTA($C44:$D44,$F44)&gt;0),1,0)</f>
      </c>
    </row>
    <row r="45" spans="2:17" x14ac:dyDescent="0.25">
      <c r="B45" s="24">
        <v>7</v>
      </c>
      <c r="C45" s="22"/>
      <c r="D45" s="22"/>
      <c r="E45" s="22"/>
      <c r="F45" s="22"/>
      <c r="Q45">
        <f>IF(AND($E45="",COUNTA($C45:$D45,$F45)&gt;0),1,0)</f>
      </c>
    </row>
    <row r="46" spans="2:17" x14ac:dyDescent="0.25">
      <c r="B46" s="24">
        <v>8</v>
      </c>
      <c r="C46" s="22"/>
      <c r="D46" s="22"/>
      <c r="E46" s="22"/>
      <c r="F46" s="22"/>
      <c r="Q46">
        <f>IF(AND($E46="",COUNTA($C46:$D46,$F46)&gt;0),1,0)</f>
      </c>
    </row>
    <row r="48" spans="2:6" x14ac:dyDescent="0.25">
      <c r="B48" s="18" t="s">
        <v>44</v>
      </c>
      <c r="C48" s="19"/>
      <c r="D48" s="19"/>
      <c r="E48" s="5"/>
      <c r="F48" s="5"/>
    </row>
    <row r="49" ht="24" customHeight="1" spans="2:16" x14ac:dyDescent="0.25">
      <c r="B49" s="20" t="s">
        <v>57</v>
      </c>
      <c r="C49" s="21"/>
      <c r="D49" s="21"/>
      <c r="E49" s="21"/>
      <c r="F49" s="21"/>
      <c r="G49" s="4">
        <f>IFERROR(IF(AND($C$49="",$C$50=""),IF(COUNTA($C$48:$F$48,$E$51,$C$53:$F$60)+COUNTA($E$50,$C$51)&gt;0,"⚠ Pick an exercise for this card",""),IF(AND($C$49&lt;&gt;"",$C$50&lt;&gt;""),"⚠ Use the library OR a custom exercise, not both",IF(AND($C$50&lt;&gt;"",$E$50=""),"⚠ Pick a muscle group for the custom exercise",IF(COUNT($E$53:$E$60)=0,"⚠ Enter Goal Reps for at least one set",IF(SUM($Q$53:$Q$60)&gt;0,"⚠ A set is missing Goal Reps",IF(IF($C$51="",1=0,COUNTIF($P$7:$P$214,$C$51)&lt;2),"⚠ Superset "&amp;$C$51&amp;" needs 2+ exercises",IF($C$49&lt;&gt;"",IFERROR("✓ "&amp;INDEX('Exercise Library'!$C$2:$C$319,MATCH($C$49,'Exercise Library'!$B$2:$B$319,0))&amp;IF(INDEX('Exercise Library'!$D$2:$D$319,MATCH($C$49,'Exercise Library'!$B$2:$B$319,0))="Yes"," · demo video","")&amp;" · "&amp;COUNT($E$53:$E$60)&amp;" sets","⚠ Not in the library — use Custom"),"✓ Custom ("&amp;$E$50&amp;") · "&amp;COUNT($E$53:$E$60)&amp;" sets"))))))),"⚠ Check this row")</f>
      </c>
      <c r="P49">
        <f>IF(OR($C$49&lt;&gt;"",$C$50&lt;&gt;""),$C$51,"")</f>
      </c>
    </row>
    <row r="50" spans="2:6" x14ac:dyDescent="0.25">
      <c r="B50" s="18" t="s">
        <v>46</v>
      </c>
      <c r="C50" s="5"/>
      <c r="D50" s="5"/>
      <c r="E50" s="5"/>
      <c r="F50" s="18" t="s">
        <v>47</v>
      </c>
    </row>
    <row r="51" ht="22" customHeight="1" spans="2:6" x14ac:dyDescent="0.25">
      <c r="B51" s="18" t="s">
        <v>48</v>
      </c>
      <c r="C51" s="22"/>
      <c r="D51" s="18" t="s">
        <v>49</v>
      </c>
      <c r="E51" s="5"/>
      <c r="F51" s="5"/>
    </row>
    <row r="52" spans="2:6" x14ac:dyDescent="0.25">
      <c r="B52" s="23" t="s">
        <v>50</v>
      </c>
      <c r="C52" s="23" t="s">
        <v>51</v>
      </c>
      <c r="D52" s="23" t="s">
        <v>52</v>
      </c>
      <c r="E52" s="23" t="s">
        <v>53</v>
      </c>
      <c r="F52" s="23" t="s">
        <v>54</v>
      </c>
    </row>
    <row r="53" spans="2:17" x14ac:dyDescent="0.25">
      <c r="B53" s="24">
        <v>1</v>
      </c>
      <c r="C53" s="22"/>
      <c r="D53" s="22"/>
      <c r="E53" s="22"/>
      <c r="F53" s="22"/>
      <c r="Q53">
        <f>IF(AND($E53="",COUNTA($C53:$D53,$F53)&gt;0),1,0)</f>
      </c>
    </row>
    <row r="54" spans="2:17" x14ac:dyDescent="0.25">
      <c r="B54" s="24">
        <v>2</v>
      </c>
      <c r="C54" s="22"/>
      <c r="D54" s="22"/>
      <c r="E54" s="22"/>
      <c r="F54" s="22"/>
      <c r="Q54">
        <f>IF(AND($E54="",COUNTA($C54:$D54,$F54)&gt;0),1,0)</f>
      </c>
    </row>
    <row r="55" spans="2:17" x14ac:dyDescent="0.25">
      <c r="B55" s="24">
        <v>3</v>
      </c>
      <c r="C55" s="22"/>
      <c r="D55" s="22"/>
      <c r="E55" s="22"/>
      <c r="F55" s="22"/>
      <c r="Q55">
        <f>IF(AND($E55="",COUNTA($C55:$D55,$F55)&gt;0),1,0)</f>
      </c>
    </row>
    <row r="56" spans="2:17" x14ac:dyDescent="0.25">
      <c r="B56" s="24">
        <v>4</v>
      </c>
      <c r="C56" s="22"/>
      <c r="D56" s="22"/>
      <c r="E56" s="22"/>
      <c r="F56" s="22"/>
      <c r="Q56">
        <f>IF(AND($E56="",COUNTA($C56:$D56,$F56)&gt;0),1,0)</f>
      </c>
    </row>
    <row r="57" spans="2:17" x14ac:dyDescent="0.25">
      <c r="B57" s="24">
        <v>5</v>
      </c>
      <c r="C57" s="22"/>
      <c r="D57" s="22"/>
      <c r="E57" s="22"/>
      <c r="F57" s="22"/>
      <c r="Q57">
        <f>IF(AND($E57="",COUNTA($C57:$D57,$F57)&gt;0),1,0)</f>
      </c>
    </row>
    <row r="58" spans="2:17" x14ac:dyDescent="0.25">
      <c r="B58" s="24">
        <v>6</v>
      </c>
      <c r="C58" s="22"/>
      <c r="D58" s="22"/>
      <c r="E58" s="22"/>
      <c r="F58" s="22"/>
      <c r="Q58">
        <f>IF(AND($E58="",COUNTA($C58:$D58,$F58)&gt;0),1,0)</f>
      </c>
    </row>
    <row r="59" spans="2:17" x14ac:dyDescent="0.25">
      <c r="B59" s="24">
        <v>7</v>
      </c>
      <c r="C59" s="22"/>
      <c r="D59" s="22"/>
      <c r="E59" s="22"/>
      <c r="F59" s="22"/>
      <c r="Q59">
        <f>IF(AND($E59="",COUNTA($C59:$D59,$F59)&gt;0),1,0)</f>
      </c>
    </row>
    <row r="60" spans="2:17" x14ac:dyDescent="0.25">
      <c r="B60" s="24">
        <v>8</v>
      </c>
      <c r="C60" s="22"/>
      <c r="D60" s="22"/>
      <c r="E60" s="22"/>
      <c r="F60" s="22"/>
      <c r="Q60">
        <f>IF(AND($E60="",COUNTA($C60:$D60,$F60)&gt;0),1,0)</f>
      </c>
    </row>
    <row r="62" spans="2:6" x14ac:dyDescent="0.25">
      <c r="B62" s="18" t="s">
        <v>44</v>
      </c>
      <c r="C62" s="19"/>
      <c r="D62" s="19"/>
      <c r="E62" s="5"/>
      <c r="F62" s="5"/>
    </row>
    <row r="63" ht="24" customHeight="1" spans="2:16" x14ac:dyDescent="0.25">
      <c r="B63" s="20" t="s">
        <v>58</v>
      </c>
      <c r="C63" s="21"/>
      <c r="D63" s="21"/>
      <c r="E63" s="21"/>
      <c r="F63" s="21"/>
      <c r="G63" s="4">
        <f>IFERROR(IF(AND($C$63="",$C$64=""),IF(COUNTA($C$62:$F$62,$E$65,$C$67:$F$74)+COUNTA($E$64,$C$65)&gt;0,"⚠ Pick an exercise for this card",""),IF(AND($C$63&lt;&gt;"",$C$64&lt;&gt;""),"⚠ Use the library OR a custom exercise, not both",IF(AND($C$64&lt;&gt;"",$E$64=""),"⚠ Pick a muscle group for the custom exercise",IF(COUNT($E$67:$E$74)=0,"⚠ Enter Goal Reps for at least one set",IF(SUM($Q$67:$Q$74)&gt;0,"⚠ A set is missing Goal Reps",IF(IF($C$65="",1=0,COUNTIF($P$7:$P$214,$C$65)&lt;2),"⚠ Superset "&amp;$C$65&amp;" needs 2+ exercises",IF($C$63&lt;&gt;"",IFERROR("✓ "&amp;INDEX('Exercise Library'!$C$2:$C$319,MATCH($C$63,'Exercise Library'!$B$2:$B$319,0))&amp;IF(INDEX('Exercise Library'!$D$2:$D$319,MATCH($C$63,'Exercise Library'!$B$2:$B$319,0))="Yes"," · demo video","")&amp;" · "&amp;COUNT($E$67:$E$74)&amp;" sets","⚠ Not in the library — use Custom"),"✓ Custom ("&amp;$E$64&amp;") · "&amp;COUNT($E$67:$E$74)&amp;" sets"))))))),"⚠ Check this row")</f>
      </c>
      <c r="P63">
        <f>IF(OR($C$63&lt;&gt;"",$C$64&lt;&gt;""),$C$65,"")</f>
      </c>
    </row>
    <row r="64" spans="2:6" x14ac:dyDescent="0.25">
      <c r="B64" s="18" t="s">
        <v>46</v>
      </c>
      <c r="C64" s="5"/>
      <c r="D64" s="5"/>
      <c r="E64" s="5"/>
      <c r="F64" s="18" t="s">
        <v>47</v>
      </c>
    </row>
    <row r="65" ht="22" customHeight="1" spans="2:6" x14ac:dyDescent="0.25">
      <c r="B65" s="18" t="s">
        <v>48</v>
      </c>
      <c r="C65" s="22"/>
      <c r="D65" s="18" t="s">
        <v>49</v>
      </c>
      <c r="E65" s="5"/>
      <c r="F65" s="5"/>
    </row>
    <row r="66" spans="2:6" x14ac:dyDescent="0.25">
      <c r="B66" s="23" t="s">
        <v>50</v>
      </c>
      <c r="C66" s="23" t="s">
        <v>51</v>
      </c>
      <c r="D66" s="23" t="s">
        <v>52</v>
      </c>
      <c r="E66" s="23" t="s">
        <v>53</v>
      </c>
      <c r="F66" s="23" t="s">
        <v>54</v>
      </c>
    </row>
    <row r="67" spans="2:17" x14ac:dyDescent="0.25">
      <c r="B67" s="24">
        <v>1</v>
      </c>
      <c r="C67" s="22"/>
      <c r="D67" s="22"/>
      <c r="E67" s="22"/>
      <c r="F67" s="22"/>
      <c r="Q67">
        <f>IF(AND($E67="",COUNTA($C67:$D67,$F67)&gt;0),1,0)</f>
      </c>
    </row>
    <row r="68" spans="2:17" x14ac:dyDescent="0.25">
      <c r="B68" s="24">
        <v>2</v>
      </c>
      <c r="C68" s="22"/>
      <c r="D68" s="22"/>
      <c r="E68" s="22"/>
      <c r="F68" s="22"/>
      <c r="Q68">
        <f>IF(AND($E68="",COUNTA($C68:$D68,$F68)&gt;0),1,0)</f>
      </c>
    </row>
    <row r="69" spans="2:17" x14ac:dyDescent="0.25">
      <c r="B69" s="24">
        <v>3</v>
      </c>
      <c r="C69" s="22"/>
      <c r="D69" s="22"/>
      <c r="E69" s="22"/>
      <c r="F69" s="22"/>
      <c r="Q69">
        <f>IF(AND($E69="",COUNTA($C69:$D69,$F69)&gt;0),1,0)</f>
      </c>
    </row>
    <row r="70" spans="2:17" x14ac:dyDescent="0.25">
      <c r="B70" s="24">
        <v>4</v>
      </c>
      <c r="C70" s="22"/>
      <c r="D70" s="22"/>
      <c r="E70" s="22"/>
      <c r="F70" s="22"/>
      <c r="Q70">
        <f>IF(AND($E70="",COUNTA($C70:$D70,$F70)&gt;0),1,0)</f>
      </c>
    </row>
    <row r="71" spans="2:17" x14ac:dyDescent="0.25">
      <c r="B71" s="24">
        <v>5</v>
      </c>
      <c r="C71" s="22"/>
      <c r="D71" s="22"/>
      <c r="E71" s="22"/>
      <c r="F71" s="22"/>
      <c r="Q71">
        <f>IF(AND($E71="",COUNTA($C71:$D71,$F71)&gt;0),1,0)</f>
      </c>
    </row>
    <row r="72" spans="2:17" x14ac:dyDescent="0.25">
      <c r="B72" s="24">
        <v>6</v>
      </c>
      <c r="C72" s="22"/>
      <c r="D72" s="22"/>
      <c r="E72" s="22"/>
      <c r="F72" s="22"/>
      <c r="Q72">
        <f>IF(AND($E72="",COUNTA($C72:$D72,$F72)&gt;0),1,0)</f>
      </c>
    </row>
    <row r="73" spans="2:17" x14ac:dyDescent="0.25">
      <c r="B73" s="24">
        <v>7</v>
      </c>
      <c r="C73" s="22"/>
      <c r="D73" s="22"/>
      <c r="E73" s="22"/>
      <c r="F73" s="22"/>
      <c r="Q73">
        <f>IF(AND($E73="",COUNTA($C73:$D73,$F73)&gt;0),1,0)</f>
      </c>
    </row>
    <row r="74" spans="2:17" x14ac:dyDescent="0.25">
      <c r="B74" s="24">
        <v>8</v>
      </c>
      <c r="C74" s="22"/>
      <c r="D74" s="22"/>
      <c r="E74" s="22"/>
      <c r="F74" s="22"/>
      <c r="Q74">
        <f>IF(AND($E74="",COUNTA($C74:$D74,$F74)&gt;0),1,0)</f>
      </c>
    </row>
    <row r="76" spans="2:6" x14ac:dyDescent="0.25">
      <c r="B76" s="18" t="s">
        <v>44</v>
      </c>
      <c r="C76" s="19"/>
      <c r="D76" s="19"/>
      <c r="E76" s="5"/>
      <c r="F76" s="5"/>
    </row>
    <row r="77" ht="24" customHeight="1" spans="2:16" x14ac:dyDescent="0.25">
      <c r="B77" s="20" t="s">
        <v>59</v>
      </c>
      <c r="C77" s="21"/>
      <c r="D77" s="21"/>
      <c r="E77" s="21"/>
      <c r="F77" s="21"/>
      <c r="G77" s="4">
        <f>IFERROR(IF(AND($C$77="",$C$78=""),IF(COUNTA($C$76:$F$76,$E$79,$C$81:$F$88)+COUNTA($E$78,$C$79)&gt;0,"⚠ Pick an exercise for this card",""),IF(AND($C$77&lt;&gt;"",$C$78&lt;&gt;""),"⚠ Use the library OR a custom exercise, not both",IF(AND($C$78&lt;&gt;"",$E$78=""),"⚠ Pick a muscle group for the custom exercise",IF(COUNT($E$81:$E$88)=0,"⚠ Enter Goal Reps for at least one set",IF(SUM($Q$81:$Q$88)&gt;0,"⚠ A set is missing Goal Reps",IF(IF($C$79="",1=0,COUNTIF($P$7:$P$214,$C$79)&lt;2),"⚠ Superset "&amp;$C$79&amp;" needs 2+ exercises",IF($C$77&lt;&gt;"",IFERROR("✓ "&amp;INDEX('Exercise Library'!$C$2:$C$319,MATCH($C$77,'Exercise Library'!$B$2:$B$319,0))&amp;IF(INDEX('Exercise Library'!$D$2:$D$319,MATCH($C$77,'Exercise Library'!$B$2:$B$319,0))="Yes"," · demo video","")&amp;" · "&amp;COUNT($E$81:$E$88)&amp;" sets","⚠ Not in the library — use Custom"),"✓ Custom ("&amp;$E$78&amp;") · "&amp;COUNT($E$81:$E$88)&amp;" sets"))))))),"⚠ Check this row")</f>
      </c>
      <c r="P77">
        <f>IF(OR($C$77&lt;&gt;"",$C$78&lt;&gt;""),$C$79,"")</f>
      </c>
    </row>
    <row r="78" spans="2:6" x14ac:dyDescent="0.25">
      <c r="B78" s="18" t="s">
        <v>46</v>
      </c>
      <c r="C78" s="5"/>
      <c r="D78" s="5"/>
      <c r="E78" s="5"/>
      <c r="F78" s="18" t="s">
        <v>47</v>
      </c>
    </row>
    <row r="79" ht="22" customHeight="1" spans="2:6" x14ac:dyDescent="0.25">
      <c r="B79" s="18" t="s">
        <v>48</v>
      </c>
      <c r="C79" s="22"/>
      <c r="D79" s="18" t="s">
        <v>49</v>
      </c>
      <c r="E79" s="5"/>
      <c r="F79" s="5"/>
    </row>
    <row r="80" spans="2:6" x14ac:dyDescent="0.25">
      <c r="B80" s="23" t="s">
        <v>50</v>
      </c>
      <c r="C80" s="23" t="s">
        <v>51</v>
      </c>
      <c r="D80" s="23" t="s">
        <v>52</v>
      </c>
      <c r="E80" s="23" t="s">
        <v>53</v>
      </c>
      <c r="F80" s="23" t="s">
        <v>54</v>
      </c>
    </row>
    <row r="81" spans="2:17" x14ac:dyDescent="0.25">
      <c r="B81" s="24">
        <v>1</v>
      </c>
      <c r="C81" s="22"/>
      <c r="D81" s="22"/>
      <c r="E81" s="22"/>
      <c r="F81" s="22"/>
      <c r="Q81">
        <f>IF(AND($E81="",COUNTA($C81:$D81,$F81)&gt;0),1,0)</f>
      </c>
    </row>
    <row r="82" spans="2:17" x14ac:dyDescent="0.25">
      <c r="B82" s="24">
        <v>2</v>
      </c>
      <c r="C82" s="22"/>
      <c r="D82" s="22"/>
      <c r="E82" s="22"/>
      <c r="F82" s="22"/>
      <c r="Q82">
        <f>IF(AND($E82="",COUNTA($C82:$D82,$F82)&gt;0),1,0)</f>
      </c>
    </row>
    <row r="83" spans="2:17" x14ac:dyDescent="0.25">
      <c r="B83" s="24">
        <v>3</v>
      </c>
      <c r="C83" s="22"/>
      <c r="D83" s="22"/>
      <c r="E83" s="22"/>
      <c r="F83" s="22"/>
      <c r="Q83">
        <f>IF(AND($E83="",COUNTA($C83:$D83,$F83)&gt;0),1,0)</f>
      </c>
    </row>
    <row r="84" spans="2:17" x14ac:dyDescent="0.25">
      <c r="B84" s="24">
        <v>4</v>
      </c>
      <c r="C84" s="22"/>
      <c r="D84" s="22"/>
      <c r="E84" s="22"/>
      <c r="F84" s="22"/>
      <c r="Q84">
        <f>IF(AND($E84="",COUNTA($C84:$D84,$F84)&gt;0),1,0)</f>
      </c>
    </row>
    <row r="85" spans="2:17" x14ac:dyDescent="0.25">
      <c r="B85" s="24">
        <v>5</v>
      </c>
      <c r="C85" s="22"/>
      <c r="D85" s="22"/>
      <c r="E85" s="22"/>
      <c r="F85" s="22"/>
      <c r="Q85">
        <f>IF(AND($E85="",COUNTA($C85:$D85,$F85)&gt;0),1,0)</f>
      </c>
    </row>
    <row r="86" spans="2:17" x14ac:dyDescent="0.25">
      <c r="B86" s="24">
        <v>6</v>
      </c>
      <c r="C86" s="22"/>
      <c r="D86" s="22"/>
      <c r="E86" s="22"/>
      <c r="F86" s="22"/>
      <c r="Q86">
        <f>IF(AND($E86="",COUNTA($C86:$D86,$F86)&gt;0),1,0)</f>
      </c>
    </row>
    <row r="87" spans="2:17" x14ac:dyDescent="0.25">
      <c r="B87" s="24">
        <v>7</v>
      </c>
      <c r="C87" s="22"/>
      <c r="D87" s="22"/>
      <c r="E87" s="22"/>
      <c r="F87" s="22"/>
      <c r="Q87">
        <f>IF(AND($E87="",COUNTA($C87:$D87,$F87)&gt;0),1,0)</f>
      </c>
    </row>
    <row r="88" spans="2:17" x14ac:dyDescent="0.25">
      <c r="B88" s="24">
        <v>8</v>
      </c>
      <c r="C88" s="22"/>
      <c r="D88" s="22"/>
      <c r="E88" s="22"/>
      <c r="F88" s="22"/>
      <c r="Q88">
        <f>IF(AND($E88="",COUNTA($C88:$D88,$F88)&gt;0),1,0)</f>
      </c>
    </row>
    <row r="90" spans="2:6" x14ac:dyDescent="0.25">
      <c r="B90" s="18" t="s">
        <v>44</v>
      </c>
      <c r="C90" s="19"/>
      <c r="D90" s="19"/>
      <c r="E90" s="5"/>
      <c r="F90" s="5"/>
    </row>
    <row r="91" ht="24" customHeight="1" spans="2:16" x14ac:dyDescent="0.25">
      <c r="B91" s="20" t="s">
        <v>60</v>
      </c>
      <c r="C91" s="21"/>
      <c r="D91" s="21"/>
      <c r="E91" s="21"/>
      <c r="F91" s="21"/>
      <c r="G91" s="4">
        <f>IFERROR(IF(AND($C$91="",$C$92=""),IF(COUNTA($C$90:$F$90,$E$93,$C$95:$F$102)+COUNTA($E$92,$C$93)&gt;0,"⚠ Pick an exercise for this card",""),IF(AND($C$91&lt;&gt;"",$C$92&lt;&gt;""),"⚠ Use the library OR a custom exercise, not both",IF(AND($C$92&lt;&gt;"",$E$92=""),"⚠ Pick a muscle group for the custom exercise",IF(COUNT($E$95:$E$102)=0,"⚠ Enter Goal Reps for at least one set",IF(SUM($Q$95:$Q$102)&gt;0,"⚠ A set is missing Goal Reps",IF(IF($C$93="",1=0,COUNTIF($P$7:$P$214,$C$93)&lt;2),"⚠ Superset "&amp;$C$93&amp;" needs 2+ exercises",IF($C$91&lt;&gt;"",IFERROR("✓ "&amp;INDEX('Exercise Library'!$C$2:$C$319,MATCH($C$91,'Exercise Library'!$B$2:$B$319,0))&amp;IF(INDEX('Exercise Library'!$D$2:$D$319,MATCH($C$91,'Exercise Library'!$B$2:$B$319,0))="Yes"," · demo video","")&amp;" · "&amp;COUNT($E$95:$E$102)&amp;" sets","⚠ Not in the library — use Custom"),"✓ Custom ("&amp;$E$92&amp;") · "&amp;COUNT($E$95:$E$102)&amp;" sets"))))))),"⚠ Check this row")</f>
      </c>
      <c r="P91">
        <f>IF(OR($C$91&lt;&gt;"",$C$92&lt;&gt;""),$C$93,"")</f>
      </c>
    </row>
    <row r="92" spans="2:6" x14ac:dyDescent="0.25">
      <c r="B92" s="18" t="s">
        <v>46</v>
      </c>
      <c r="C92" s="5"/>
      <c r="D92" s="5"/>
      <c r="E92" s="5"/>
      <c r="F92" s="18" t="s">
        <v>47</v>
      </c>
    </row>
    <row r="93" ht="22" customHeight="1" spans="2:6" x14ac:dyDescent="0.25">
      <c r="B93" s="18" t="s">
        <v>48</v>
      </c>
      <c r="C93" s="22"/>
      <c r="D93" s="18" t="s">
        <v>49</v>
      </c>
      <c r="E93" s="5"/>
      <c r="F93" s="5"/>
    </row>
    <row r="94" spans="2:6" x14ac:dyDescent="0.25">
      <c r="B94" s="23" t="s">
        <v>50</v>
      </c>
      <c r="C94" s="23" t="s">
        <v>51</v>
      </c>
      <c r="D94" s="23" t="s">
        <v>52</v>
      </c>
      <c r="E94" s="23" t="s">
        <v>53</v>
      </c>
      <c r="F94" s="23" t="s">
        <v>54</v>
      </c>
    </row>
    <row r="95" spans="2:17" x14ac:dyDescent="0.25">
      <c r="B95" s="24">
        <v>1</v>
      </c>
      <c r="C95" s="22"/>
      <c r="D95" s="22"/>
      <c r="E95" s="22"/>
      <c r="F95" s="22"/>
      <c r="Q95">
        <f>IF(AND($E95="",COUNTA($C95:$D95,$F95)&gt;0),1,0)</f>
      </c>
    </row>
    <row r="96" spans="2:17" x14ac:dyDescent="0.25">
      <c r="B96" s="24">
        <v>2</v>
      </c>
      <c r="C96" s="22"/>
      <c r="D96" s="22"/>
      <c r="E96" s="22"/>
      <c r="F96" s="22"/>
      <c r="Q96">
        <f>IF(AND($E96="",COUNTA($C96:$D96,$F96)&gt;0),1,0)</f>
      </c>
    </row>
    <row r="97" spans="2:17" x14ac:dyDescent="0.25">
      <c r="B97" s="24">
        <v>3</v>
      </c>
      <c r="C97" s="22"/>
      <c r="D97" s="22"/>
      <c r="E97" s="22"/>
      <c r="F97" s="22"/>
      <c r="Q97">
        <f>IF(AND($E97="",COUNTA($C97:$D97,$F97)&gt;0),1,0)</f>
      </c>
    </row>
    <row r="98" spans="2:17" x14ac:dyDescent="0.25">
      <c r="B98" s="24">
        <v>4</v>
      </c>
      <c r="C98" s="22"/>
      <c r="D98" s="22"/>
      <c r="E98" s="22"/>
      <c r="F98" s="22"/>
      <c r="Q98">
        <f>IF(AND($E98="",COUNTA($C98:$D98,$F98)&gt;0),1,0)</f>
      </c>
    </row>
    <row r="99" spans="2:17" x14ac:dyDescent="0.25">
      <c r="B99" s="24">
        <v>5</v>
      </c>
      <c r="C99" s="22"/>
      <c r="D99" s="22"/>
      <c r="E99" s="22"/>
      <c r="F99" s="22"/>
      <c r="Q99">
        <f>IF(AND($E99="",COUNTA($C99:$D99,$F99)&gt;0),1,0)</f>
      </c>
    </row>
    <row r="100" spans="2:17" x14ac:dyDescent="0.25">
      <c r="B100" s="24">
        <v>6</v>
      </c>
      <c r="C100" s="22"/>
      <c r="D100" s="22"/>
      <c r="E100" s="22"/>
      <c r="F100" s="22"/>
      <c r="Q100">
        <f>IF(AND($E100="",COUNTA($C100:$D100,$F100)&gt;0),1,0)</f>
      </c>
    </row>
    <row r="101" spans="2:17" x14ac:dyDescent="0.25">
      <c r="B101" s="24">
        <v>7</v>
      </c>
      <c r="C101" s="22"/>
      <c r="D101" s="22"/>
      <c r="E101" s="22"/>
      <c r="F101" s="22"/>
      <c r="Q101">
        <f>IF(AND($E101="",COUNTA($C101:$D101,$F101)&gt;0),1,0)</f>
      </c>
    </row>
    <row r="102" spans="2:17" x14ac:dyDescent="0.25">
      <c r="B102" s="24">
        <v>8</v>
      </c>
      <c r="C102" s="22"/>
      <c r="D102" s="22"/>
      <c r="E102" s="22"/>
      <c r="F102" s="22"/>
      <c r="Q102">
        <f>IF(AND($E102="",COUNTA($C102:$D102,$F102)&gt;0),1,0)</f>
      </c>
    </row>
    <row r="104" spans="2:6" x14ac:dyDescent="0.25">
      <c r="B104" s="18" t="s">
        <v>44</v>
      </c>
      <c r="C104" s="19"/>
      <c r="D104" s="19"/>
      <c r="E104" s="5"/>
      <c r="F104" s="5"/>
    </row>
    <row r="105" ht="24" customHeight="1" spans="2:16" x14ac:dyDescent="0.25">
      <c r="B105" s="20" t="s">
        <v>61</v>
      </c>
      <c r="C105" s="21"/>
      <c r="D105" s="21"/>
      <c r="E105" s="21"/>
      <c r="F105" s="21"/>
      <c r="G105" s="4">
        <f>IFERROR(IF(AND($C$105="",$C$106=""),IF(COUNTA($C$104:$F$104,$E$107,$C$109:$F$116)+COUNTA($E$106,$C$107)&gt;0,"⚠ Pick an exercise for this card",""),IF(AND($C$105&lt;&gt;"",$C$106&lt;&gt;""),"⚠ Use the library OR a custom exercise, not both",IF(AND($C$106&lt;&gt;"",$E$106=""),"⚠ Pick a muscle group for the custom exercise",IF(COUNT($E$109:$E$116)=0,"⚠ Enter Goal Reps for at least one set",IF(SUM($Q$109:$Q$116)&gt;0,"⚠ A set is missing Goal Reps",IF(IF($C$107="",1=0,COUNTIF($P$7:$P$214,$C$107)&lt;2),"⚠ Superset "&amp;$C$107&amp;" needs 2+ exercises",IF($C$105&lt;&gt;"",IFERROR("✓ "&amp;INDEX('Exercise Library'!$C$2:$C$319,MATCH($C$105,'Exercise Library'!$B$2:$B$319,0))&amp;IF(INDEX('Exercise Library'!$D$2:$D$319,MATCH($C$105,'Exercise Library'!$B$2:$B$319,0))="Yes"," · demo video","")&amp;" · "&amp;COUNT($E$109:$E$116)&amp;" sets","⚠ Not in the library — use Custom"),"✓ Custom ("&amp;$E$106&amp;") · "&amp;COUNT($E$109:$E$116)&amp;" sets"))))))),"⚠ Check this row")</f>
      </c>
      <c r="P105">
        <f>IF(OR($C$105&lt;&gt;"",$C$106&lt;&gt;""),$C$107,"")</f>
      </c>
    </row>
    <row r="106" spans="2:6" x14ac:dyDescent="0.25">
      <c r="B106" s="18" t="s">
        <v>46</v>
      </c>
      <c r="C106" s="5"/>
      <c r="D106" s="5"/>
      <c r="E106" s="5"/>
      <c r="F106" s="18" t="s">
        <v>47</v>
      </c>
    </row>
    <row r="107" ht="22" customHeight="1" spans="2:6" x14ac:dyDescent="0.25">
      <c r="B107" s="18" t="s">
        <v>48</v>
      </c>
      <c r="C107" s="22"/>
      <c r="D107" s="18" t="s">
        <v>49</v>
      </c>
      <c r="E107" s="5"/>
      <c r="F107" s="5"/>
    </row>
    <row r="108" spans="2:6" x14ac:dyDescent="0.25">
      <c r="B108" s="23" t="s">
        <v>50</v>
      </c>
      <c r="C108" s="23" t="s">
        <v>51</v>
      </c>
      <c r="D108" s="23" t="s">
        <v>52</v>
      </c>
      <c r="E108" s="23" t="s">
        <v>53</v>
      </c>
      <c r="F108" s="23" t="s">
        <v>54</v>
      </c>
    </row>
    <row r="109" spans="2:17" x14ac:dyDescent="0.25">
      <c r="B109" s="24">
        <v>1</v>
      </c>
      <c r="C109" s="22"/>
      <c r="D109" s="22"/>
      <c r="E109" s="22"/>
      <c r="F109" s="22"/>
      <c r="Q109">
        <f>IF(AND($E109="",COUNTA($C109:$D109,$F109)&gt;0),1,0)</f>
      </c>
    </row>
    <row r="110" spans="2:17" x14ac:dyDescent="0.25">
      <c r="B110" s="24">
        <v>2</v>
      </c>
      <c r="C110" s="22"/>
      <c r="D110" s="22"/>
      <c r="E110" s="22"/>
      <c r="F110" s="22"/>
      <c r="Q110">
        <f>IF(AND($E110="",COUNTA($C110:$D110,$F110)&gt;0),1,0)</f>
      </c>
    </row>
    <row r="111" spans="2:17" x14ac:dyDescent="0.25">
      <c r="B111" s="24">
        <v>3</v>
      </c>
      <c r="C111" s="22"/>
      <c r="D111" s="22"/>
      <c r="E111" s="22"/>
      <c r="F111" s="22"/>
      <c r="Q111">
        <f>IF(AND($E111="",COUNTA($C111:$D111,$F111)&gt;0),1,0)</f>
      </c>
    </row>
    <row r="112" spans="2:17" x14ac:dyDescent="0.25">
      <c r="B112" s="24">
        <v>4</v>
      </c>
      <c r="C112" s="22"/>
      <c r="D112" s="22"/>
      <c r="E112" s="22"/>
      <c r="F112" s="22"/>
      <c r="Q112">
        <f>IF(AND($E112="",COUNTA($C112:$D112,$F112)&gt;0),1,0)</f>
      </c>
    </row>
    <row r="113" spans="2:17" x14ac:dyDescent="0.25">
      <c r="B113" s="24">
        <v>5</v>
      </c>
      <c r="C113" s="22"/>
      <c r="D113" s="22"/>
      <c r="E113" s="22"/>
      <c r="F113" s="22"/>
      <c r="Q113">
        <f>IF(AND($E113="",COUNTA($C113:$D113,$F113)&gt;0),1,0)</f>
      </c>
    </row>
    <row r="114" spans="2:17" x14ac:dyDescent="0.25">
      <c r="B114" s="24">
        <v>6</v>
      </c>
      <c r="C114" s="22"/>
      <c r="D114" s="22"/>
      <c r="E114" s="22"/>
      <c r="F114" s="22"/>
      <c r="Q114">
        <f>IF(AND($E114="",COUNTA($C114:$D114,$F114)&gt;0),1,0)</f>
      </c>
    </row>
    <row r="115" spans="2:17" x14ac:dyDescent="0.25">
      <c r="B115" s="24">
        <v>7</v>
      </c>
      <c r="C115" s="22"/>
      <c r="D115" s="22"/>
      <c r="E115" s="22"/>
      <c r="F115" s="22"/>
      <c r="Q115">
        <f>IF(AND($E115="",COUNTA($C115:$D115,$F115)&gt;0),1,0)</f>
      </c>
    </row>
    <row r="116" spans="2:17" x14ac:dyDescent="0.25">
      <c r="B116" s="24">
        <v>8</v>
      </c>
      <c r="C116" s="22"/>
      <c r="D116" s="22"/>
      <c r="E116" s="22"/>
      <c r="F116" s="22"/>
      <c r="Q116">
        <f>IF(AND($E116="",COUNTA($C116:$D116,$F116)&gt;0),1,0)</f>
      </c>
    </row>
    <row r="118" spans="2:6" x14ac:dyDescent="0.25">
      <c r="B118" s="18" t="s">
        <v>44</v>
      </c>
      <c r="C118" s="19"/>
      <c r="D118" s="19"/>
      <c r="E118" s="5"/>
      <c r="F118" s="5"/>
    </row>
    <row r="119" ht="24" customHeight="1" spans="2:16" x14ac:dyDescent="0.25">
      <c r="B119" s="20" t="s">
        <v>62</v>
      </c>
      <c r="C119" s="21"/>
      <c r="D119" s="21"/>
      <c r="E119" s="21"/>
      <c r="F119" s="21"/>
      <c r="G119" s="4">
        <f>IFERROR(IF(AND($C$119="",$C$120=""),IF(COUNTA($C$118:$F$118,$E$121,$C$123:$F$130)+COUNTA($E$120,$C$121)&gt;0,"⚠ Pick an exercise for this card",""),IF(AND($C$119&lt;&gt;"",$C$120&lt;&gt;""),"⚠ Use the library OR a custom exercise, not both",IF(AND($C$120&lt;&gt;"",$E$120=""),"⚠ Pick a muscle group for the custom exercise",IF(COUNT($E$123:$E$130)=0,"⚠ Enter Goal Reps for at least one set",IF(SUM($Q$123:$Q$130)&gt;0,"⚠ A set is missing Goal Reps",IF(IF($C$121="",1=0,COUNTIF($P$7:$P$214,$C$121)&lt;2),"⚠ Superset "&amp;$C$121&amp;" needs 2+ exercises",IF($C$119&lt;&gt;"",IFERROR("✓ "&amp;INDEX('Exercise Library'!$C$2:$C$319,MATCH($C$119,'Exercise Library'!$B$2:$B$319,0))&amp;IF(INDEX('Exercise Library'!$D$2:$D$319,MATCH($C$119,'Exercise Library'!$B$2:$B$319,0))="Yes"," · demo video","")&amp;" · "&amp;COUNT($E$123:$E$130)&amp;" sets","⚠ Not in the library — use Custom"),"✓ Custom ("&amp;$E$120&amp;") · "&amp;COUNT($E$123:$E$130)&amp;" sets"))))))),"⚠ Check this row")</f>
      </c>
      <c r="P119">
        <f>IF(OR($C$119&lt;&gt;"",$C$120&lt;&gt;""),$C$121,"")</f>
      </c>
    </row>
    <row r="120" spans="2:6" x14ac:dyDescent="0.25">
      <c r="B120" s="18" t="s">
        <v>46</v>
      </c>
      <c r="C120" s="5"/>
      <c r="D120" s="5"/>
      <c r="E120" s="5"/>
      <c r="F120" s="18" t="s">
        <v>47</v>
      </c>
    </row>
    <row r="121" ht="22" customHeight="1" spans="2:6" x14ac:dyDescent="0.25">
      <c r="B121" s="18" t="s">
        <v>48</v>
      </c>
      <c r="C121" s="22"/>
      <c r="D121" s="18" t="s">
        <v>49</v>
      </c>
      <c r="E121" s="5"/>
      <c r="F121" s="5"/>
    </row>
    <row r="122" spans="2:6" x14ac:dyDescent="0.25">
      <c r="B122" s="23" t="s">
        <v>50</v>
      </c>
      <c r="C122" s="23" t="s">
        <v>51</v>
      </c>
      <c r="D122" s="23" t="s">
        <v>52</v>
      </c>
      <c r="E122" s="23" t="s">
        <v>53</v>
      </c>
      <c r="F122" s="23" t="s">
        <v>54</v>
      </c>
    </row>
    <row r="123" spans="2:17" x14ac:dyDescent="0.25">
      <c r="B123" s="24">
        <v>1</v>
      </c>
      <c r="C123" s="22"/>
      <c r="D123" s="22"/>
      <c r="E123" s="22"/>
      <c r="F123" s="22"/>
      <c r="Q123">
        <f>IF(AND($E123="",COUNTA($C123:$D123,$F123)&gt;0),1,0)</f>
      </c>
    </row>
    <row r="124" spans="2:17" x14ac:dyDescent="0.25">
      <c r="B124" s="24">
        <v>2</v>
      </c>
      <c r="C124" s="22"/>
      <c r="D124" s="22"/>
      <c r="E124" s="22"/>
      <c r="F124" s="22"/>
      <c r="Q124">
        <f>IF(AND($E124="",COUNTA($C124:$D124,$F124)&gt;0),1,0)</f>
      </c>
    </row>
    <row r="125" spans="2:17" x14ac:dyDescent="0.25">
      <c r="B125" s="24">
        <v>3</v>
      </c>
      <c r="C125" s="22"/>
      <c r="D125" s="22"/>
      <c r="E125" s="22"/>
      <c r="F125" s="22"/>
      <c r="Q125">
        <f>IF(AND($E125="",COUNTA($C125:$D125,$F125)&gt;0),1,0)</f>
      </c>
    </row>
    <row r="126" spans="2:17" x14ac:dyDescent="0.25">
      <c r="B126" s="24">
        <v>4</v>
      </c>
      <c r="C126" s="22"/>
      <c r="D126" s="22"/>
      <c r="E126" s="22"/>
      <c r="F126" s="22"/>
      <c r="Q126">
        <f>IF(AND($E126="",COUNTA($C126:$D126,$F126)&gt;0),1,0)</f>
      </c>
    </row>
    <row r="127" spans="2:17" x14ac:dyDescent="0.25">
      <c r="B127" s="24">
        <v>5</v>
      </c>
      <c r="C127" s="22"/>
      <c r="D127" s="22"/>
      <c r="E127" s="22"/>
      <c r="F127" s="22"/>
      <c r="Q127">
        <f>IF(AND($E127="",COUNTA($C127:$D127,$F127)&gt;0),1,0)</f>
      </c>
    </row>
    <row r="128" spans="2:17" x14ac:dyDescent="0.25">
      <c r="B128" s="24">
        <v>6</v>
      </c>
      <c r="C128" s="22"/>
      <c r="D128" s="22"/>
      <c r="E128" s="22"/>
      <c r="F128" s="22"/>
      <c r="Q128">
        <f>IF(AND($E128="",COUNTA($C128:$D128,$F128)&gt;0),1,0)</f>
      </c>
    </row>
    <row r="129" spans="2:17" x14ac:dyDescent="0.25">
      <c r="B129" s="24">
        <v>7</v>
      </c>
      <c r="C129" s="22"/>
      <c r="D129" s="22"/>
      <c r="E129" s="22"/>
      <c r="F129" s="22"/>
      <c r="Q129">
        <f>IF(AND($E129="",COUNTA($C129:$D129,$F129)&gt;0),1,0)</f>
      </c>
    </row>
    <row r="130" spans="2:17" x14ac:dyDescent="0.25">
      <c r="B130" s="24">
        <v>8</v>
      </c>
      <c r="C130" s="22"/>
      <c r="D130" s="22"/>
      <c r="E130" s="22"/>
      <c r="F130" s="22"/>
      <c r="Q130">
        <f>IF(AND($E130="",COUNTA($C130:$D130,$F130)&gt;0),1,0)</f>
      </c>
    </row>
    <row r="132" spans="2:6" x14ac:dyDescent="0.25">
      <c r="B132" s="18" t="s">
        <v>44</v>
      </c>
      <c r="C132" s="19"/>
      <c r="D132" s="19"/>
      <c r="E132" s="5"/>
      <c r="F132" s="5"/>
    </row>
    <row r="133" ht="24" customHeight="1" spans="2:16" x14ac:dyDescent="0.25">
      <c r="B133" s="20" t="s">
        <v>63</v>
      </c>
      <c r="C133" s="21"/>
      <c r="D133" s="21"/>
      <c r="E133" s="21"/>
      <c r="F133" s="21"/>
      <c r="G133" s="4">
        <f>IFERROR(IF(AND($C$133="",$C$134=""),IF(COUNTA($C$132:$F$132,$E$135,$C$137:$F$144)+COUNTA($E$134,$C$135)&gt;0,"⚠ Pick an exercise for this card",""),IF(AND($C$133&lt;&gt;"",$C$134&lt;&gt;""),"⚠ Use the library OR a custom exercise, not both",IF(AND($C$134&lt;&gt;"",$E$134=""),"⚠ Pick a muscle group for the custom exercise",IF(COUNT($E$137:$E$144)=0,"⚠ Enter Goal Reps for at least one set",IF(SUM($Q$137:$Q$144)&gt;0,"⚠ A set is missing Goal Reps",IF(IF($C$135="",1=0,COUNTIF($P$7:$P$214,$C$135)&lt;2),"⚠ Superset "&amp;$C$135&amp;" needs 2+ exercises",IF($C$133&lt;&gt;"",IFERROR("✓ "&amp;INDEX('Exercise Library'!$C$2:$C$319,MATCH($C$133,'Exercise Library'!$B$2:$B$319,0))&amp;IF(INDEX('Exercise Library'!$D$2:$D$319,MATCH($C$133,'Exercise Library'!$B$2:$B$319,0))="Yes"," · demo video","")&amp;" · "&amp;COUNT($E$137:$E$144)&amp;" sets","⚠ Not in the library — use Custom"),"✓ Custom ("&amp;$E$134&amp;") · "&amp;COUNT($E$137:$E$144)&amp;" sets"))))))),"⚠ Check this row")</f>
      </c>
      <c r="P133">
        <f>IF(OR($C$133&lt;&gt;"",$C$134&lt;&gt;""),$C$135,"")</f>
      </c>
    </row>
    <row r="134" spans="2:6" x14ac:dyDescent="0.25">
      <c r="B134" s="18" t="s">
        <v>46</v>
      </c>
      <c r="C134" s="5"/>
      <c r="D134" s="5"/>
      <c r="E134" s="5"/>
      <c r="F134" s="18" t="s">
        <v>47</v>
      </c>
    </row>
    <row r="135" ht="22" customHeight="1" spans="2:6" x14ac:dyDescent="0.25">
      <c r="B135" s="18" t="s">
        <v>48</v>
      </c>
      <c r="C135" s="22"/>
      <c r="D135" s="18" t="s">
        <v>49</v>
      </c>
      <c r="E135" s="5"/>
      <c r="F135" s="5"/>
    </row>
    <row r="136" spans="2:6" x14ac:dyDescent="0.25">
      <c r="B136" s="23" t="s">
        <v>50</v>
      </c>
      <c r="C136" s="23" t="s">
        <v>51</v>
      </c>
      <c r="D136" s="23" t="s">
        <v>52</v>
      </c>
      <c r="E136" s="23" t="s">
        <v>53</v>
      </c>
      <c r="F136" s="23" t="s">
        <v>54</v>
      </c>
    </row>
    <row r="137" spans="2:17" x14ac:dyDescent="0.25">
      <c r="B137" s="24">
        <v>1</v>
      </c>
      <c r="C137" s="22"/>
      <c r="D137" s="22"/>
      <c r="E137" s="22"/>
      <c r="F137" s="22"/>
      <c r="Q137">
        <f>IF(AND($E137="",COUNTA($C137:$D137,$F137)&gt;0),1,0)</f>
      </c>
    </row>
    <row r="138" spans="2:17" x14ac:dyDescent="0.25">
      <c r="B138" s="24">
        <v>2</v>
      </c>
      <c r="C138" s="22"/>
      <c r="D138" s="22"/>
      <c r="E138" s="22"/>
      <c r="F138" s="22"/>
      <c r="Q138">
        <f>IF(AND($E138="",COUNTA($C138:$D138,$F138)&gt;0),1,0)</f>
      </c>
    </row>
    <row r="139" spans="2:17" x14ac:dyDescent="0.25">
      <c r="B139" s="24">
        <v>3</v>
      </c>
      <c r="C139" s="22"/>
      <c r="D139" s="22"/>
      <c r="E139" s="22"/>
      <c r="F139" s="22"/>
      <c r="Q139">
        <f>IF(AND($E139="",COUNTA($C139:$D139,$F139)&gt;0),1,0)</f>
      </c>
    </row>
    <row r="140" spans="2:17" x14ac:dyDescent="0.25">
      <c r="B140" s="24">
        <v>4</v>
      </c>
      <c r="C140" s="22"/>
      <c r="D140" s="22"/>
      <c r="E140" s="22"/>
      <c r="F140" s="22"/>
      <c r="Q140">
        <f>IF(AND($E140="",COUNTA($C140:$D140,$F140)&gt;0),1,0)</f>
      </c>
    </row>
    <row r="141" spans="2:17" x14ac:dyDescent="0.25">
      <c r="B141" s="24">
        <v>5</v>
      </c>
      <c r="C141" s="22"/>
      <c r="D141" s="22"/>
      <c r="E141" s="22"/>
      <c r="F141" s="22"/>
      <c r="Q141">
        <f>IF(AND($E141="",COUNTA($C141:$D141,$F141)&gt;0),1,0)</f>
      </c>
    </row>
    <row r="142" spans="2:17" x14ac:dyDescent="0.25">
      <c r="B142" s="24">
        <v>6</v>
      </c>
      <c r="C142" s="22"/>
      <c r="D142" s="22"/>
      <c r="E142" s="22"/>
      <c r="F142" s="22"/>
      <c r="Q142">
        <f>IF(AND($E142="",COUNTA($C142:$D142,$F142)&gt;0),1,0)</f>
      </c>
    </row>
    <row r="143" spans="2:17" x14ac:dyDescent="0.25">
      <c r="B143" s="24">
        <v>7</v>
      </c>
      <c r="C143" s="22"/>
      <c r="D143" s="22"/>
      <c r="E143" s="22"/>
      <c r="F143" s="22"/>
      <c r="Q143">
        <f>IF(AND($E143="",COUNTA($C143:$D143,$F143)&gt;0),1,0)</f>
      </c>
    </row>
    <row r="144" spans="2:17" x14ac:dyDescent="0.25">
      <c r="B144" s="24">
        <v>8</v>
      </c>
      <c r="C144" s="22"/>
      <c r="D144" s="22"/>
      <c r="E144" s="22"/>
      <c r="F144" s="22"/>
      <c r="Q144">
        <f>IF(AND($E144="",COUNTA($C144:$D144,$F144)&gt;0),1,0)</f>
      </c>
    </row>
    <row r="146" spans="2:6" x14ac:dyDescent="0.25">
      <c r="B146" s="18" t="s">
        <v>44</v>
      </c>
      <c r="C146" s="19"/>
      <c r="D146" s="19"/>
      <c r="E146" s="5"/>
      <c r="F146" s="5"/>
    </row>
    <row r="147" ht="24" customHeight="1" spans="2:16" x14ac:dyDescent="0.25">
      <c r="B147" s="20" t="s">
        <v>64</v>
      </c>
      <c r="C147" s="21"/>
      <c r="D147" s="21"/>
      <c r="E147" s="21"/>
      <c r="F147" s="21"/>
      <c r="G147" s="4">
        <f>IFERROR(IF(AND($C$147="",$C$148=""),IF(COUNTA($C$146:$F$146,$E$149,$C$151:$F$158)+COUNTA($E$148,$C$149)&gt;0,"⚠ Pick an exercise for this card",""),IF(AND($C$147&lt;&gt;"",$C$148&lt;&gt;""),"⚠ Use the library OR a custom exercise, not both",IF(AND($C$148&lt;&gt;"",$E$148=""),"⚠ Pick a muscle group for the custom exercise",IF(COUNT($E$151:$E$158)=0,"⚠ Enter Goal Reps for at least one set",IF(SUM($Q$151:$Q$158)&gt;0,"⚠ A set is missing Goal Reps",IF(IF($C$149="",1=0,COUNTIF($P$7:$P$214,$C$149)&lt;2),"⚠ Superset "&amp;$C$149&amp;" needs 2+ exercises",IF($C$147&lt;&gt;"",IFERROR("✓ "&amp;INDEX('Exercise Library'!$C$2:$C$319,MATCH($C$147,'Exercise Library'!$B$2:$B$319,0))&amp;IF(INDEX('Exercise Library'!$D$2:$D$319,MATCH($C$147,'Exercise Library'!$B$2:$B$319,0))="Yes"," · demo video","")&amp;" · "&amp;COUNT($E$151:$E$158)&amp;" sets","⚠ Not in the library — use Custom"),"✓ Custom ("&amp;$E$148&amp;") · "&amp;COUNT($E$151:$E$158)&amp;" sets"))))))),"⚠ Check this row")</f>
      </c>
      <c r="P147">
        <f>IF(OR($C$147&lt;&gt;"",$C$148&lt;&gt;""),$C$149,"")</f>
      </c>
    </row>
    <row r="148" spans="2:6" x14ac:dyDescent="0.25">
      <c r="B148" s="18" t="s">
        <v>46</v>
      </c>
      <c r="C148" s="5"/>
      <c r="D148" s="5"/>
      <c r="E148" s="5"/>
      <c r="F148" s="18" t="s">
        <v>47</v>
      </c>
    </row>
    <row r="149" ht="22" customHeight="1" spans="2:6" x14ac:dyDescent="0.25">
      <c r="B149" s="18" t="s">
        <v>48</v>
      </c>
      <c r="C149" s="22"/>
      <c r="D149" s="18" t="s">
        <v>49</v>
      </c>
      <c r="E149" s="5"/>
      <c r="F149" s="5"/>
    </row>
    <row r="150" spans="2:6" x14ac:dyDescent="0.25">
      <c r="B150" s="23" t="s">
        <v>50</v>
      </c>
      <c r="C150" s="23" t="s">
        <v>51</v>
      </c>
      <c r="D150" s="23" t="s">
        <v>52</v>
      </c>
      <c r="E150" s="23" t="s">
        <v>53</v>
      </c>
      <c r="F150" s="23" t="s">
        <v>54</v>
      </c>
    </row>
    <row r="151" spans="2:17" x14ac:dyDescent="0.25">
      <c r="B151" s="24">
        <v>1</v>
      </c>
      <c r="C151" s="22"/>
      <c r="D151" s="22"/>
      <c r="E151" s="22"/>
      <c r="F151" s="22"/>
      <c r="Q151">
        <f>IF(AND($E151="",COUNTA($C151:$D151,$F151)&gt;0),1,0)</f>
      </c>
    </row>
    <row r="152" spans="2:17" x14ac:dyDescent="0.25">
      <c r="B152" s="24">
        <v>2</v>
      </c>
      <c r="C152" s="22"/>
      <c r="D152" s="22"/>
      <c r="E152" s="22"/>
      <c r="F152" s="22"/>
      <c r="Q152">
        <f>IF(AND($E152="",COUNTA($C152:$D152,$F152)&gt;0),1,0)</f>
      </c>
    </row>
    <row r="153" spans="2:17" x14ac:dyDescent="0.25">
      <c r="B153" s="24">
        <v>3</v>
      </c>
      <c r="C153" s="22"/>
      <c r="D153" s="22"/>
      <c r="E153" s="22"/>
      <c r="F153" s="22"/>
      <c r="Q153">
        <f>IF(AND($E153="",COUNTA($C153:$D153,$F153)&gt;0),1,0)</f>
      </c>
    </row>
    <row r="154" spans="2:17" x14ac:dyDescent="0.25">
      <c r="B154" s="24">
        <v>4</v>
      </c>
      <c r="C154" s="22"/>
      <c r="D154" s="22"/>
      <c r="E154" s="22"/>
      <c r="F154" s="22"/>
      <c r="Q154">
        <f>IF(AND($E154="",COUNTA($C154:$D154,$F154)&gt;0),1,0)</f>
      </c>
    </row>
    <row r="155" spans="2:17" x14ac:dyDescent="0.25">
      <c r="B155" s="24">
        <v>5</v>
      </c>
      <c r="C155" s="22"/>
      <c r="D155" s="22"/>
      <c r="E155" s="22"/>
      <c r="F155" s="22"/>
      <c r="Q155">
        <f>IF(AND($E155="",COUNTA($C155:$D155,$F155)&gt;0),1,0)</f>
      </c>
    </row>
    <row r="156" spans="2:17" x14ac:dyDescent="0.25">
      <c r="B156" s="24">
        <v>6</v>
      </c>
      <c r="C156" s="22"/>
      <c r="D156" s="22"/>
      <c r="E156" s="22"/>
      <c r="F156" s="22"/>
      <c r="Q156">
        <f>IF(AND($E156="",COUNTA($C156:$D156,$F156)&gt;0),1,0)</f>
      </c>
    </row>
    <row r="157" spans="2:17" x14ac:dyDescent="0.25">
      <c r="B157" s="24">
        <v>7</v>
      </c>
      <c r="C157" s="22"/>
      <c r="D157" s="22"/>
      <c r="E157" s="22"/>
      <c r="F157" s="22"/>
      <c r="Q157">
        <f>IF(AND($E157="",COUNTA($C157:$D157,$F157)&gt;0),1,0)</f>
      </c>
    </row>
    <row r="158" spans="2:17" x14ac:dyDescent="0.25">
      <c r="B158" s="24">
        <v>8</v>
      </c>
      <c r="C158" s="22"/>
      <c r="D158" s="22"/>
      <c r="E158" s="22"/>
      <c r="F158" s="22"/>
      <c r="Q158">
        <f>IF(AND($E158="",COUNTA($C158:$D158,$F158)&gt;0),1,0)</f>
      </c>
    </row>
    <row r="160" spans="2:6" x14ac:dyDescent="0.25">
      <c r="B160" s="18" t="s">
        <v>44</v>
      </c>
      <c r="C160" s="19"/>
      <c r="D160" s="19"/>
      <c r="E160" s="5"/>
      <c r="F160" s="5"/>
    </row>
    <row r="161" ht="24" customHeight="1" spans="2:16" x14ac:dyDescent="0.25">
      <c r="B161" s="20" t="s">
        <v>65</v>
      </c>
      <c r="C161" s="21"/>
      <c r="D161" s="21"/>
      <c r="E161" s="21"/>
      <c r="F161" s="21"/>
      <c r="G161" s="4">
        <f>IFERROR(IF(AND($C$161="",$C$162=""),IF(COUNTA($C$160:$F$160,$E$163,$C$165:$F$172)+COUNTA($E$162,$C$163)&gt;0,"⚠ Pick an exercise for this card",""),IF(AND($C$161&lt;&gt;"",$C$162&lt;&gt;""),"⚠ Use the library OR a custom exercise, not both",IF(AND($C$162&lt;&gt;"",$E$162=""),"⚠ Pick a muscle group for the custom exercise",IF(COUNT($E$165:$E$172)=0,"⚠ Enter Goal Reps for at least one set",IF(SUM($Q$165:$Q$172)&gt;0,"⚠ A set is missing Goal Reps",IF(IF($C$163="",1=0,COUNTIF($P$7:$P$214,$C$163)&lt;2),"⚠ Superset "&amp;$C$163&amp;" needs 2+ exercises",IF($C$161&lt;&gt;"",IFERROR("✓ "&amp;INDEX('Exercise Library'!$C$2:$C$319,MATCH($C$161,'Exercise Library'!$B$2:$B$319,0))&amp;IF(INDEX('Exercise Library'!$D$2:$D$319,MATCH($C$161,'Exercise Library'!$B$2:$B$319,0))="Yes"," · demo video","")&amp;" · "&amp;COUNT($E$165:$E$172)&amp;" sets","⚠ Not in the library — use Custom"),"✓ Custom ("&amp;$E$162&amp;") · "&amp;COUNT($E$165:$E$172)&amp;" sets"))))))),"⚠ Check this row")</f>
      </c>
      <c r="P161">
        <f>IF(OR($C$161&lt;&gt;"",$C$162&lt;&gt;""),$C$163,"")</f>
      </c>
    </row>
    <row r="162" spans="2:6" x14ac:dyDescent="0.25">
      <c r="B162" s="18" t="s">
        <v>46</v>
      </c>
      <c r="C162" s="5"/>
      <c r="D162" s="5"/>
      <c r="E162" s="5"/>
      <c r="F162" s="18" t="s">
        <v>47</v>
      </c>
    </row>
    <row r="163" ht="22" customHeight="1" spans="2:6" x14ac:dyDescent="0.25">
      <c r="B163" s="18" t="s">
        <v>48</v>
      </c>
      <c r="C163" s="22"/>
      <c r="D163" s="18" t="s">
        <v>49</v>
      </c>
      <c r="E163" s="5"/>
      <c r="F163" s="5"/>
    </row>
    <row r="164" spans="2:6" x14ac:dyDescent="0.25">
      <c r="B164" s="23" t="s">
        <v>50</v>
      </c>
      <c r="C164" s="23" t="s">
        <v>51</v>
      </c>
      <c r="D164" s="23" t="s">
        <v>52</v>
      </c>
      <c r="E164" s="23" t="s">
        <v>53</v>
      </c>
      <c r="F164" s="23" t="s">
        <v>54</v>
      </c>
    </row>
    <row r="165" spans="2:17" x14ac:dyDescent="0.25">
      <c r="B165" s="24">
        <v>1</v>
      </c>
      <c r="C165" s="22"/>
      <c r="D165" s="22"/>
      <c r="E165" s="22"/>
      <c r="F165" s="22"/>
      <c r="Q165">
        <f>IF(AND($E165="",COUNTA($C165:$D165,$F165)&gt;0),1,0)</f>
      </c>
    </row>
    <row r="166" spans="2:17" x14ac:dyDescent="0.25">
      <c r="B166" s="24">
        <v>2</v>
      </c>
      <c r="C166" s="22"/>
      <c r="D166" s="22"/>
      <c r="E166" s="22"/>
      <c r="F166" s="22"/>
      <c r="Q166">
        <f>IF(AND($E166="",COUNTA($C166:$D166,$F166)&gt;0),1,0)</f>
      </c>
    </row>
    <row r="167" spans="2:17" x14ac:dyDescent="0.25">
      <c r="B167" s="24">
        <v>3</v>
      </c>
      <c r="C167" s="22"/>
      <c r="D167" s="22"/>
      <c r="E167" s="22"/>
      <c r="F167" s="22"/>
      <c r="Q167">
        <f>IF(AND($E167="",COUNTA($C167:$D167,$F167)&gt;0),1,0)</f>
      </c>
    </row>
    <row r="168" spans="2:17" x14ac:dyDescent="0.25">
      <c r="B168" s="24">
        <v>4</v>
      </c>
      <c r="C168" s="22"/>
      <c r="D168" s="22"/>
      <c r="E168" s="22"/>
      <c r="F168" s="22"/>
      <c r="Q168">
        <f>IF(AND($E168="",COUNTA($C168:$D168,$F168)&gt;0),1,0)</f>
      </c>
    </row>
    <row r="169" spans="2:17" x14ac:dyDescent="0.25">
      <c r="B169" s="24">
        <v>5</v>
      </c>
      <c r="C169" s="22"/>
      <c r="D169" s="22"/>
      <c r="E169" s="22"/>
      <c r="F169" s="22"/>
      <c r="Q169">
        <f>IF(AND($E169="",COUNTA($C169:$D169,$F169)&gt;0),1,0)</f>
      </c>
    </row>
    <row r="170" spans="2:17" x14ac:dyDescent="0.25">
      <c r="B170" s="24">
        <v>6</v>
      </c>
      <c r="C170" s="22"/>
      <c r="D170" s="22"/>
      <c r="E170" s="22"/>
      <c r="F170" s="22"/>
      <c r="Q170">
        <f>IF(AND($E170="",COUNTA($C170:$D170,$F170)&gt;0),1,0)</f>
      </c>
    </row>
    <row r="171" spans="2:17" x14ac:dyDescent="0.25">
      <c r="B171" s="24">
        <v>7</v>
      </c>
      <c r="C171" s="22"/>
      <c r="D171" s="22"/>
      <c r="E171" s="22"/>
      <c r="F171" s="22"/>
      <c r="Q171">
        <f>IF(AND($E171="",COUNTA($C171:$D171,$F171)&gt;0),1,0)</f>
      </c>
    </row>
    <row r="172" spans="2:17" x14ac:dyDescent="0.25">
      <c r="B172" s="24">
        <v>8</v>
      </c>
      <c r="C172" s="22"/>
      <c r="D172" s="22"/>
      <c r="E172" s="22"/>
      <c r="F172" s="22"/>
      <c r="Q172">
        <f>IF(AND($E172="",COUNTA($C172:$D172,$F172)&gt;0),1,0)</f>
      </c>
    </row>
    <row r="174" spans="2:6" x14ac:dyDescent="0.25">
      <c r="B174" s="18" t="s">
        <v>44</v>
      </c>
      <c r="C174" s="19"/>
      <c r="D174" s="19"/>
      <c r="E174" s="5"/>
      <c r="F174" s="5"/>
    </row>
    <row r="175" ht="24" customHeight="1" spans="2:16" x14ac:dyDescent="0.25">
      <c r="B175" s="20" t="s">
        <v>66</v>
      </c>
      <c r="C175" s="21"/>
      <c r="D175" s="21"/>
      <c r="E175" s="21"/>
      <c r="F175" s="21"/>
      <c r="G175" s="4">
        <f>IFERROR(IF(AND($C$175="",$C$176=""),IF(COUNTA($C$174:$F$174,$E$177,$C$179:$F$186)+COUNTA($E$176,$C$177)&gt;0,"⚠ Pick an exercise for this card",""),IF(AND($C$175&lt;&gt;"",$C$176&lt;&gt;""),"⚠ Use the library OR a custom exercise, not both",IF(AND($C$176&lt;&gt;"",$E$176=""),"⚠ Pick a muscle group for the custom exercise",IF(COUNT($E$179:$E$186)=0,"⚠ Enter Goal Reps for at least one set",IF(SUM($Q$179:$Q$186)&gt;0,"⚠ A set is missing Goal Reps",IF(IF($C$177="",1=0,COUNTIF($P$7:$P$214,$C$177)&lt;2),"⚠ Superset "&amp;$C$177&amp;" needs 2+ exercises",IF($C$175&lt;&gt;"",IFERROR("✓ "&amp;INDEX('Exercise Library'!$C$2:$C$319,MATCH($C$175,'Exercise Library'!$B$2:$B$319,0))&amp;IF(INDEX('Exercise Library'!$D$2:$D$319,MATCH($C$175,'Exercise Library'!$B$2:$B$319,0))="Yes"," · demo video","")&amp;" · "&amp;COUNT($E$179:$E$186)&amp;" sets","⚠ Not in the library — use Custom"),"✓ Custom ("&amp;$E$176&amp;") · "&amp;COUNT($E$179:$E$186)&amp;" sets"))))))),"⚠ Check this row")</f>
      </c>
      <c r="P175">
        <f>IF(OR($C$175&lt;&gt;"",$C$176&lt;&gt;""),$C$177,"")</f>
      </c>
    </row>
    <row r="176" spans="2:6" x14ac:dyDescent="0.25">
      <c r="B176" s="18" t="s">
        <v>46</v>
      </c>
      <c r="C176" s="5"/>
      <c r="D176" s="5"/>
      <c r="E176" s="5"/>
      <c r="F176" s="18" t="s">
        <v>47</v>
      </c>
    </row>
    <row r="177" ht="22" customHeight="1" spans="2:6" x14ac:dyDescent="0.25">
      <c r="B177" s="18" t="s">
        <v>48</v>
      </c>
      <c r="C177" s="22"/>
      <c r="D177" s="18" t="s">
        <v>49</v>
      </c>
      <c r="E177" s="5"/>
      <c r="F177" s="5"/>
    </row>
    <row r="178" spans="2:6" x14ac:dyDescent="0.25">
      <c r="B178" s="23" t="s">
        <v>50</v>
      </c>
      <c r="C178" s="23" t="s">
        <v>51</v>
      </c>
      <c r="D178" s="23" t="s">
        <v>52</v>
      </c>
      <c r="E178" s="23" t="s">
        <v>53</v>
      </c>
      <c r="F178" s="23" t="s">
        <v>54</v>
      </c>
    </row>
    <row r="179" spans="2:17" x14ac:dyDescent="0.25">
      <c r="B179" s="24">
        <v>1</v>
      </c>
      <c r="C179" s="22"/>
      <c r="D179" s="22"/>
      <c r="E179" s="22"/>
      <c r="F179" s="22"/>
      <c r="Q179">
        <f>IF(AND($E179="",COUNTA($C179:$D179,$F179)&gt;0),1,0)</f>
      </c>
    </row>
    <row r="180" spans="2:17" x14ac:dyDescent="0.25">
      <c r="B180" s="24">
        <v>2</v>
      </c>
      <c r="C180" s="22"/>
      <c r="D180" s="22"/>
      <c r="E180" s="22"/>
      <c r="F180" s="22"/>
      <c r="Q180">
        <f>IF(AND($E180="",COUNTA($C180:$D180,$F180)&gt;0),1,0)</f>
      </c>
    </row>
    <row r="181" spans="2:17" x14ac:dyDescent="0.25">
      <c r="B181" s="24">
        <v>3</v>
      </c>
      <c r="C181" s="22"/>
      <c r="D181" s="22"/>
      <c r="E181" s="22"/>
      <c r="F181" s="22"/>
      <c r="Q181">
        <f>IF(AND($E181="",COUNTA($C181:$D181,$F181)&gt;0),1,0)</f>
      </c>
    </row>
    <row r="182" spans="2:17" x14ac:dyDescent="0.25">
      <c r="B182" s="24">
        <v>4</v>
      </c>
      <c r="C182" s="22"/>
      <c r="D182" s="22"/>
      <c r="E182" s="22"/>
      <c r="F182" s="22"/>
      <c r="Q182">
        <f>IF(AND($E182="",COUNTA($C182:$D182,$F182)&gt;0),1,0)</f>
      </c>
    </row>
    <row r="183" spans="2:17" x14ac:dyDescent="0.25">
      <c r="B183" s="24">
        <v>5</v>
      </c>
      <c r="C183" s="22"/>
      <c r="D183" s="22"/>
      <c r="E183" s="22"/>
      <c r="F183" s="22"/>
      <c r="Q183">
        <f>IF(AND($E183="",COUNTA($C183:$D183,$F183)&gt;0),1,0)</f>
      </c>
    </row>
    <row r="184" spans="2:17" x14ac:dyDescent="0.25">
      <c r="B184" s="24">
        <v>6</v>
      </c>
      <c r="C184" s="22"/>
      <c r="D184" s="22"/>
      <c r="E184" s="22"/>
      <c r="F184" s="22"/>
      <c r="Q184">
        <f>IF(AND($E184="",COUNTA($C184:$D184,$F184)&gt;0),1,0)</f>
      </c>
    </row>
    <row r="185" spans="2:17" x14ac:dyDescent="0.25">
      <c r="B185" s="24">
        <v>7</v>
      </c>
      <c r="C185" s="22"/>
      <c r="D185" s="22"/>
      <c r="E185" s="22"/>
      <c r="F185" s="22"/>
      <c r="Q185">
        <f>IF(AND($E185="",COUNTA($C185:$D185,$F185)&gt;0),1,0)</f>
      </c>
    </row>
    <row r="186" spans="2:17" x14ac:dyDescent="0.25">
      <c r="B186" s="24">
        <v>8</v>
      </c>
      <c r="C186" s="22"/>
      <c r="D186" s="22"/>
      <c r="E186" s="22"/>
      <c r="F186" s="22"/>
      <c r="Q186">
        <f>IF(AND($E186="",COUNTA($C186:$D186,$F186)&gt;0),1,0)</f>
      </c>
    </row>
    <row r="188" spans="2:6" x14ac:dyDescent="0.25">
      <c r="B188" s="18" t="s">
        <v>44</v>
      </c>
      <c r="C188" s="19"/>
      <c r="D188" s="19"/>
      <c r="E188" s="5"/>
      <c r="F188" s="5"/>
    </row>
    <row r="189" ht="24" customHeight="1" spans="2:16" x14ac:dyDescent="0.25">
      <c r="B189" s="20" t="s">
        <v>67</v>
      </c>
      <c r="C189" s="21"/>
      <c r="D189" s="21"/>
      <c r="E189" s="21"/>
      <c r="F189" s="21"/>
      <c r="G189" s="4">
        <f>IFERROR(IF(AND($C$189="",$C$190=""),IF(COUNTA($C$188:$F$188,$E$191,$C$193:$F$200)+COUNTA($E$190,$C$191)&gt;0,"⚠ Pick an exercise for this card",""),IF(AND($C$189&lt;&gt;"",$C$190&lt;&gt;""),"⚠ Use the library OR a custom exercise, not both",IF(AND($C$190&lt;&gt;"",$E$190=""),"⚠ Pick a muscle group for the custom exercise",IF(COUNT($E$193:$E$200)=0,"⚠ Enter Goal Reps for at least one set",IF(SUM($Q$193:$Q$200)&gt;0,"⚠ A set is missing Goal Reps",IF(IF($C$191="",1=0,COUNTIF($P$7:$P$214,$C$191)&lt;2),"⚠ Superset "&amp;$C$191&amp;" needs 2+ exercises",IF($C$189&lt;&gt;"",IFERROR("✓ "&amp;INDEX('Exercise Library'!$C$2:$C$319,MATCH($C$189,'Exercise Library'!$B$2:$B$319,0))&amp;IF(INDEX('Exercise Library'!$D$2:$D$319,MATCH($C$189,'Exercise Library'!$B$2:$B$319,0))="Yes"," · demo video","")&amp;" · "&amp;COUNT($E$193:$E$200)&amp;" sets","⚠ Not in the library — use Custom"),"✓ Custom ("&amp;$E$190&amp;") · "&amp;COUNT($E$193:$E$200)&amp;" sets"))))))),"⚠ Check this row")</f>
      </c>
      <c r="P189">
        <f>IF(OR($C$189&lt;&gt;"",$C$190&lt;&gt;""),$C$191,"")</f>
      </c>
    </row>
    <row r="190" spans="2:6" x14ac:dyDescent="0.25">
      <c r="B190" s="18" t="s">
        <v>46</v>
      </c>
      <c r="C190" s="5"/>
      <c r="D190" s="5"/>
      <c r="E190" s="5"/>
      <c r="F190" s="18" t="s">
        <v>47</v>
      </c>
    </row>
    <row r="191" ht="22" customHeight="1" spans="2:6" x14ac:dyDescent="0.25">
      <c r="B191" s="18" t="s">
        <v>48</v>
      </c>
      <c r="C191" s="22"/>
      <c r="D191" s="18" t="s">
        <v>49</v>
      </c>
      <c r="E191" s="5"/>
      <c r="F191" s="5"/>
    </row>
    <row r="192" spans="2:6" x14ac:dyDescent="0.25">
      <c r="B192" s="23" t="s">
        <v>50</v>
      </c>
      <c r="C192" s="23" t="s">
        <v>51</v>
      </c>
      <c r="D192" s="23" t="s">
        <v>52</v>
      </c>
      <c r="E192" s="23" t="s">
        <v>53</v>
      </c>
      <c r="F192" s="23" t="s">
        <v>54</v>
      </c>
    </row>
    <row r="193" spans="2:17" x14ac:dyDescent="0.25">
      <c r="B193" s="24">
        <v>1</v>
      </c>
      <c r="C193" s="22"/>
      <c r="D193" s="22"/>
      <c r="E193" s="22"/>
      <c r="F193" s="22"/>
      <c r="Q193">
        <f>IF(AND($E193="",COUNTA($C193:$D193,$F193)&gt;0),1,0)</f>
      </c>
    </row>
    <row r="194" spans="2:17" x14ac:dyDescent="0.25">
      <c r="B194" s="24">
        <v>2</v>
      </c>
      <c r="C194" s="22"/>
      <c r="D194" s="22"/>
      <c r="E194" s="22"/>
      <c r="F194" s="22"/>
      <c r="Q194">
        <f>IF(AND($E194="",COUNTA($C194:$D194,$F194)&gt;0),1,0)</f>
      </c>
    </row>
    <row r="195" spans="2:17" x14ac:dyDescent="0.25">
      <c r="B195" s="24">
        <v>3</v>
      </c>
      <c r="C195" s="22"/>
      <c r="D195" s="22"/>
      <c r="E195" s="22"/>
      <c r="F195" s="22"/>
      <c r="Q195">
        <f>IF(AND($E195="",COUNTA($C195:$D195,$F195)&gt;0),1,0)</f>
      </c>
    </row>
    <row r="196" spans="2:17" x14ac:dyDescent="0.25">
      <c r="B196" s="24">
        <v>4</v>
      </c>
      <c r="C196" s="22"/>
      <c r="D196" s="22"/>
      <c r="E196" s="22"/>
      <c r="F196" s="22"/>
      <c r="Q196">
        <f>IF(AND($E196="",COUNTA($C196:$D196,$F196)&gt;0),1,0)</f>
      </c>
    </row>
    <row r="197" spans="2:17" x14ac:dyDescent="0.25">
      <c r="B197" s="24">
        <v>5</v>
      </c>
      <c r="C197" s="22"/>
      <c r="D197" s="22"/>
      <c r="E197" s="22"/>
      <c r="F197" s="22"/>
      <c r="Q197">
        <f>IF(AND($E197="",COUNTA($C197:$D197,$F197)&gt;0),1,0)</f>
      </c>
    </row>
    <row r="198" spans="2:17" x14ac:dyDescent="0.25">
      <c r="B198" s="24">
        <v>6</v>
      </c>
      <c r="C198" s="22"/>
      <c r="D198" s="22"/>
      <c r="E198" s="22"/>
      <c r="F198" s="22"/>
      <c r="Q198">
        <f>IF(AND($E198="",COUNTA($C198:$D198,$F198)&gt;0),1,0)</f>
      </c>
    </row>
    <row r="199" spans="2:17" x14ac:dyDescent="0.25">
      <c r="B199" s="24">
        <v>7</v>
      </c>
      <c r="C199" s="22"/>
      <c r="D199" s="22"/>
      <c r="E199" s="22"/>
      <c r="F199" s="22"/>
      <c r="Q199">
        <f>IF(AND($E199="",COUNTA($C199:$D199,$F199)&gt;0),1,0)</f>
      </c>
    </row>
    <row r="200" spans="2:17" x14ac:dyDescent="0.25">
      <c r="B200" s="24">
        <v>8</v>
      </c>
      <c r="C200" s="22"/>
      <c r="D200" s="22"/>
      <c r="E200" s="22"/>
      <c r="F200" s="22"/>
      <c r="Q200">
        <f>IF(AND($E200="",COUNTA($C200:$D200,$F200)&gt;0),1,0)</f>
      </c>
    </row>
    <row r="202" spans="2:6" x14ac:dyDescent="0.25">
      <c r="B202" s="18" t="s">
        <v>44</v>
      </c>
      <c r="C202" s="19"/>
      <c r="D202" s="19"/>
      <c r="E202" s="5"/>
      <c r="F202" s="5"/>
    </row>
    <row r="203" ht="24" customHeight="1" spans="2:16" x14ac:dyDescent="0.25">
      <c r="B203" s="20" t="s">
        <v>68</v>
      </c>
      <c r="C203" s="21"/>
      <c r="D203" s="21"/>
      <c r="E203" s="21"/>
      <c r="F203" s="21"/>
      <c r="G203" s="4">
        <f>IFERROR(IF(AND($C$203="",$C$204=""),IF(COUNTA($C$202:$F$202,$E$205,$C$207:$F$214)+COUNTA($E$204,$C$205)&gt;0,"⚠ Pick an exercise for this card",""),IF(AND($C$203&lt;&gt;"",$C$204&lt;&gt;""),"⚠ Use the library OR a custom exercise, not both",IF(AND($C$204&lt;&gt;"",$E$204=""),"⚠ Pick a muscle group for the custom exercise",IF(COUNT($E$207:$E$214)=0,"⚠ Enter Goal Reps for at least one set",IF(SUM($Q$207:$Q$214)&gt;0,"⚠ A set is missing Goal Reps",IF(IF($C$205="",1=0,COUNTIF($P$7:$P$214,$C$205)&lt;2),"⚠ Superset "&amp;$C$205&amp;" needs 2+ exercises",IF($C$203&lt;&gt;"",IFERROR("✓ "&amp;INDEX('Exercise Library'!$C$2:$C$319,MATCH($C$203,'Exercise Library'!$B$2:$B$319,0))&amp;IF(INDEX('Exercise Library'!$D$2:$D$319,MATCH($C$203,'Exercise Library'!$B$2:$B$319,0))="Yes"," · demo video","")&amp;" · "&amp;COUNT($E$207:$E$214)&amp;" sets","⚠ Not in the library — use Custom"),"✓ Custom ("&amp;$E$204&amp;") · "&amp;COUNT($E$207:$E$214)&amp;" sets"))))))),"⚠ Check this row")</f>
      </c>
      <c r="P203">
        <f>IF(OR($C$203&lt;&gt;"",$C$204&lt;&gt;""),$C$205,"")</f>
      </c>
    </row>
    <row r="204" spans="2:6" x14ac:dyDescent="0.25">
      <c r="B204" s="18" t="s">
        <v>46</v>
      </c>
      <c r="C204" s="5"/>
      <c r="D204" s="5"/>
      <c r="E204" s="5"/>
      <c r="F204" s="18" t="s">
        <v>47</v>
      </c>
    </row>
    <row r="205" ht="22" customHeight="1" spans="2:6" x14ac:dyDescent="0.25">
      <c r="B205" s="18" t="s">
        <v>48</v>
      </c>
      <c r="C205" s="22"/>
      <c r="D205" s="18" t="s">
        <v>49</v>
      </c>
      <c r="E205" s="5"/>
      <c r="F205" s="5"/>
    </row>
    <row r="206" spans="2:6" x14ac:dyDescent="0.25">
      <c r="B206" s="23" t="s">
        <v>50</v>
      </c>
      <c r="C206" s="23" t="s">
        <v>51</v>
      </c>
      <c r="D206" s="23" t="s">
        <v>52</v>
      </c>
      <c r="E206" s="23" t="s">
        <v>53</v>
      </c>
      <c r="F206" s="23" t="s">
        <v>54</v>
      </c>
    </row>
    <row r="207" spans="2:17" x14ac:dyDescent="0.25">
      <c r="B207" s="24">
        <v>1</v>
      </c>
      <c r="C207" s="22"/>
      <c r="D207" s="22"/>
      <c r="E207" s="22"/>
      <c r="F207" s="22"/>
      <c r="Q207">
        <f>IF(AND($E207="",COUNTA($C207:$D207,$F207)&gt;0),1,0)</f>
      </c>
    </row>
    <row r="208" spans="2:17" x14ac:dyDescent="0.25">
      <c r="B208" s="24">
        <v>2</v>
      </c>
      <c r="C208" s="22"/>
      <c r="D208" s="22"/>
      <c r="E208" s="22"/>
      <c r="F208" s="22"/>
      <c r="Q208">
        <f>IF(AND($E208="",COUNTA($C208:$D208,$F208)&gt;0),1,0)</f>
      </c>
    </row>
    <row r="209" spans="2:17" x14ac:dyDescent="0.25">
      <c r="B209" s="24">
        <v>3</v>
      </c>
      <c r="C209" s="22"/>
      <c r="D209" s="22"/>
      <c r="E209" s="22"/>
      <c r="F209" s="22"/>
      <c r="Q209">
        <f>IF(AND($E209="",COUNTA($C209:$D209,$F209)&gt;0),1,0)</f>
      </c>
    </row>
    <row r="210" spans="2:17" x14ac:dyDescent="0.25">
      <c r="B210" s="24">
        <v>4</v>
      </c>
      <c r="C210" s="22"/>
      <c r="D210" s="22"/>
      <c r="E210" s="22"/>
      <c r="F210" s="22"/>
      <c r="Q210">
        <f>IF(AND($E210="",COUNTA($C210:$D210,$F210)&gt;0),1,0)</f>
      </c>
    </row>
    <row r="211" spans="2:17" x14ac:dyDescent="0.25">
      <c r="B211" s="24">
        <v>5</v>
      </c>
      <c r="C211" s="22"/>
      <c r="D211" s="22"/>
      <c r="E211" s="22"/>
      <c r="F211" s="22"/>
      <c r="Q211">
        <f>IF(AND($E211="",COUNTA($C211:$D211,$F211)&gt;0),1,0)</f>
      </c>
    </row>
    <row r="212" spans="2:17" x14ac:dyDescent="0.25">
      <c r="B212" s="24">
        <v>6</v>
      </c>
      <c r="C212" s="22"/>
      <c r="D212" s="22"/>
      <c r="E212" s="22"/>
      <c r="F212" s="22"/>
      <c r="Q212">
        <f>IF(AND($E212="",COUNTA($C212:$D212,$F212)&gt;0),1,0)</f>
      </c>
    </row>
    <row r="213" spans="2:17" x14ac:dyDescent="0.25">
      <c r="B213" s="24">
        <v>7</v>
      </c>
      <c r="C213" s="22"/>
      <c r="D213" s="22"/>
      <c r="E213" s="22"/>
      <c r="F213" s="22"/>
      <c r="Q213">
        <f>IF(AND($E213="",COUNTA($C213:$D213,$F213)&gt;0),1,0)</f>
      </c>
    </row>
    <row r="214" spans="2:17" x14ac:dyDescent="0.25">
      <c r="B214" s="24">
        <v>8</v>
      </c>
      <c r="C214" s="22"/>
      <c r="D214" s="22"/>
      <c r="E214" s="22"/>
      <c r="F214" s="22"/>
      <c r="Q214">
        <f>IF(AND($E214="",COUNTA($C214:$D214,$F214)&gt;0),1,0)</f>
      </c>
    </row>
  </sheetData>
  <mergeCells count="78">
    <mergeCell ref="A1:G1"/>
    <mergeCell ref="C3:F3"/>
    <mergeCell ref="C4:F4"/>
    <mergeCell ref="C6:D6"/>
    <mergeCell ref="E6:F6"/>
    <mergeCell ref="C7:F7"/>
    <mergeCell ref="C8:D8"/>
    <mergeCell ref="E9:F9"/>
    <mergeCell ref="C20:D20"/>
    <mergeCell ref="E20:F20"/>
    <mergeCell ref="C21:F21"/>
    <mergeCell ref="C22:D22"/>
    <mergeCell ref="E23:F23"/>
    <mergeCell ref="C34:D34"/>
    <mergeCell ref="E34:F34"/>
    <mergeCell ref="C35:F35"/>
    <mergeCell ref="C36:D36"/>
    <mergeCell ref="E37:F37"/>
    <mergeCell ref="C48:D48"/>
    <mergeCell ref="E48:F48"/>
    <mergeCell ref="C49:F49"/>
    <mergeCell ref="C50:D50"/>
    <mergeCell ref="E51:F51"/>
    <mergeCell ref="C62:D62"/>
    <mergeCell ref="E62:F62"/>
    <mergeCell ref="C63:F63"/>
    <mergeCell ref="C64:D64"/>
    <mergeCell ref="E65:F65"/>
    <mergeCell ref="C76:D76"/>
    <mergeCell ref="E76:F76"/>
    <mergeCell ref="C77:F77"/>
    <mergeCell ref="C78:D78"/>
    <mergeCell ref="E79:F79"/>
    <mergeCell ref="C90:D90"/>
    <mergeCell ref="E90:F90"/>
    <mergeCell ref="C91:F91"/>
    <mergeCell ref="C92:D92"/>
    <mergeCell ref="E93:F93"/>
    <mergeCell ref="C104:D104"/>
    <mergeCell ref="E104:F104"/>
    <mergeCell ref="C105:F105"/>
    <mergeCell ref="C106:D106"/>
    <mergeCell ref="E107:F107"/>
    <mergeCell ref="C118:D118"/>
    <mergeCell ref="E118:F118"/>
    <mergeCell ref="C119:F119"/>
    <mergeCell ref="C120:D120"/>
    <mergeCell ref="E121:F121"/>
    <mergeCell ref="C132:D132"/>
    <mergeCell ref="E132:F132"/>
    <mergeCell ref="C133:F133"/>
    <mergeCell ref="C134:D134"/>
    <mergeCell ref="E135:F135"/>
    <mergeCell ref="C146:D146"/>
    <mergeCell ref="E146:F146"/>
    <mergeCell ref="C147:F147"/>
    <mergeCell ref="C148:D148"/>
    <mergeCell ref="E149:F149"/>
    <mergeCell ref="C160:D160"/>
    <mergeCell ref="E160:F160"/>
    <mergeCell ref="C161:F161"/>
    <mergeCell ref="C162:D162"/>
    <mergeCell ref="E163:F163"/>
    <mergeCell ref="C174:D174"/>
    <mergeCell ref="E174:F174"/>
    <mergeCell ref="C175:F175"/>
    <mergeCell ref="C176:D176"/>
    <mergeCell ref="E177:F177"/>
    <mergeCell ref="C188:D188"/>
    <mergeCell ref="E188:F188"/>
    <mergeCell ref="C189:F189"/>
    <mergeCell ref="C190:D190"/>
    <mergeCell ref="E191:F191"/>
    <mergeCell ref="C202:D202"/>
    <mergeCell ref="E202:F202"/>
    <mergeCell ref="C203:F203"/>
    <mergeCell ref="C204:D204"/>
    <mergeCell ref="E205:F205"/>
  </mergeCells>
  <conditionalFormatting sqref="A1:G1">
    <cfRule type="expression" dxfId="27" priority="1">
      <formula>$O$1="FILL"</formula>
    </cfRule>
    <cfRule type="expression" dxfId="28" priority="2">
      <formula>$O$1="SKIP"</formula>
    </cfRule>
    <cfRule type="expression" dxfId="29" priority="3">
      <formula>$O$1=""</formula>
    </cfRule>
  </conditionalFormatting>
  <conditionalFormatting sqref="G3:G214">
    <cfRule type="expression" dxfId="30" priority="1">
      <formula>LEFT(G3,1)="⚠"</formula>
    </cfRule>
    <cfRule type="expression" dxfId="31" priority="2">
      <formula>LEFT(G3,1)="✓"</formula>
    </cfRule>
  </conditionalFormatting>
  <conditionalFormatting sqref="C3:F214">
    <cfRule type="expression" dxfId="32" priority="1">
      <formula>$O$1="SKIP"</formula>
    </cfRule>
  </conditionalFormatting>
  <dataValidations count="121">
    <dataValidation type="list" allowBlank="1" showInputMessage="1" prompt="Pick from the RepLab exercise library (type to search). Library exercises come with demo videos." showErrorMessage="1" errorStyle="stop" errorTitle="Pick from the list" error="Choose one of the options in the dropdown." sqref="C105">
      <formula1>'Exercise Library'!$B$2:$B$319</formula1>
    </dataValidation>
    <dataValidation type="textLength" operator="lessThanOrEqual" allowBlank="1" showErrorMessage="1" error="200 characters or fewer." sqref="C106">
      <formula1>200</formula1>
    </dataValidation>
    <dataValidation type="list" allowBlank="1" showInputMessage="1" prompt="Same letter = same superset" showErrorMessage="1" errorStyle="stop" errorTitle="Pick from the list" error="Choose one of the options in the dropdown." sqref="C107">
      <formula1>Lists!$E$2:$E$11</formula1>
    </dataValidation>
    <dataValidation type="list" allowBlank="1" showErrorMessage="1" errorStyle="stop" errorTitle="Pick from the list" error="Choose one of the options in the dropdown." sqref="C109:C11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19">
      <formula1>'Exercise Library'!$B$2:$B$319</formula1>
    </dataValidation>
    <dataValidation type="list" allowBlank="1" showErrorMessage="1" errorStyle="stop" errorTitle="Pick from the list" error="Choose one of the options in the dropdown." sqref="C11:C18">
      <formula1>Lists!$B$2:$B$9</formula1>
    </dataValidation>
    <dataValidation type="textLength" operator="lessThanOrEqual" allowBlank="1" showErrorMessage="1" error="200 characters or fewer." sqref="C120">
      <formula1>200</formula1>
    </dataValidation>
    <dataValidation type="list" allowBlank="1" showInputMessage="1" prompt="Same letter = same superset" showErrorMessage="1" errorStyle="stop" errorTitle="Pick from the list" error="Choose one of the options in the dropdown." sqref="C121">
      <formula1>Lists!$E$2:$E$11</formula1>
    </dataValidation>
    <dataValidation type="list" allowBlank="1" showErrorMessage="1" errorStyle="stop" errorTitle="Pick from the list" error="Choose one of the options in the dropdown." sqref="C123:C13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33">
      <formula1>'Exercise Library'!$B$2:$B$319</formula1>
    </dataValidation>
    <dataValidation type="textLength" operator="lessThanOrEqual" allowBlank="1" showErrorMessage="1" error="200 characters or fewer." sqref="C134">
      <formula1>200</formula1>
    </dataValidation>
    <dataValidation type="list" allowBlank="1" showInputMessage="1" prompt="Same letter = same superset" showErrorMessage="1" errorStyle="stop" errorTitle="Pick from the list" error="Choose one of the options in the dropdown." sqref="C135">
      <formula1>Lists!$E$2:$E$11</formula1>
    </dataValidation>
    <dataValidation type="list" allowBlank="1" showErrorMessage="1" errorStyle="stop" errorTitle="Pick from the list" error="Choose one of the options in the dropdown." sqref="C137:C14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47">
      <formula1>'Exercise Library'!$B$2:$B$319</formula1>
    </dataValidation>
    <dataValidation type="textLength" operator="lessThanOrEqual" allowBlank="1" showErrorMessage="1" error="200 characters or fewer." sqref="C148">
      <formula1>200</formula1>
    </dataValidation>
    <dataValidation type="list" allowBlank="1" showInputMessage="1" prompt="Same letter = same superset" showErrorMessage="1" errorStyle="stop" errorTitle="Pick from the list" error="Choose one of the options in the dropdown." sqref="C149">
      <formula1>Lists!$E$2:$E$11</formula1>
    </dataValidation>
    <dataValidation type="list" allowBlank="1" showErrorMessage="1" errorStyle="stop" errorTitle="Pick from the list" error="Choose one of the options in the dropdown." sqref="C151:C158">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61">
      <formula1>'Exercise Library'!$B$2:$B$319</formula1>
    </dataValidation>
    <dataValidation type="textLength" operator="lessThanOrEqual" allowBlank="1" showErrorMessage="1" error="200 characters or fewer." sqref="C162">
      <formula1>200</formula1>
    </dataValidation>
    <dataValidation type="list" allowBlank="1" showInputMessage="1" prompt="Same letter = same superset" showErrorMessage="1" errorStyle="stop" errorTitle="Pick from the list" error="Choose one of the options in the dropdown." sqref="C163">
      <formula1>Lists!$E$2:$E$11</formula1>
    </dataValidation>
    <dataValidation type="list" allowBlank="1" showErrorMessage="1" errorStyle="stop" errorTitle="Pick from the list" error="Choose one of the options in the dropdown." sqref="C165:C172">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75">
      <formula1>'Exercise Library'!$B$2:$B$319</formula1>
    </dataValidation>
    <dataValidation type="textLength" operator="lessThanOrEqual" allowBlank="1" showErrorMessage="1" error="200 characters or fewer." sqref="C176">
      <formula1>200</formula1>
    </dataValidation>
    <dataValidation type="list" allowBlank="1" showInputMessage="1" prompt="Same letter = same superset" showErrorMessage="1" errorStyle="stop" errorTitle="Pick from the list" error="Choose one of the options in the dropdown." sqref="C177">
      <formula1>Lists!$E$2:$E$11</formula1>
    </dataValidation>
    <dataValidation type="list" allowBlank="1" showErrorMessage="1" errorStyle="stop" errorTitle="Pick from the list" error="Choose one of the options in the dropdown." sqref="C179:C18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89">
      <formula1>'Exercise Library'!$B$2:$B$319</formula1>
    </dataValidation>
    <dataValidation type="textLength" operator="lessThanOrEqual" allowBlank="1" showErrorMessage="1" error="200 characters or fewer." sqref="C190">
      <formula1>200</formula1>
    </dataValidation>
    <dataValidation type="list" allowBlank="1" showInputMessage="1" prompt="Same letter = same superset" showErrorMessage="1" errorStyle="stop" errorTitle="Pick from the list" error="Choose one of the options in the dropdown." sqref="C191">
      <formula1>Lists!$E$2:$E$11</formula1>
    </dataValidation>
    <dataValidation type="list" allowBlank="1" showErrorMessage="1" errorStyle="stop" errorTitle="Pick from the list" error="Choose one of the options in the dropdown." sqref="C193:C20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03">
      <formula1>'Exercise Library'!$B$2:$B$319</formula1>
    </dataValidation>
    <dataValidation type="textLength" operator="lessThanOrEqual" allowBlank="1" showErrorMessage="1" error="200 characters or fewer." sqref="C204">
      <formula1>200</formula1>
    </dataValidation>
    <dataValidation type="list" allowBlank="1" showInputMessage="1" prompt="Same letter = same superset" showErrorMessage="1" errorStyle="stop" errorTitle="Pick from the list" error="Choose one of the options in the dropdown." sqref="C205">
      <formula1>Lists!$E$2:$E$11</formula1>
    </dataValidation>
    <dataValidation type="list" allowBlank="1" showErrorMessage="1" errorStyle="stop" errorTitle="Pick from the list" error="Choose one of the options in the dropdown." sqref="C207:C21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1">
      <formula1>'Exercise Library'!$B$2:$B$319</formula1>
    </dataValidation>
    <dataValidation type="textLength" operator="lessThanOrEqual" allowBlank="1" showErrorMessage="1" error="200 characters or fewer." sqref="C22">
      <formula1>200</formula1>
    </dataValidation>
    <dataValidation type="list" allowBlank="1" showInputMessage="1" prompt="Same letter = same superset" showErrorMessage="1" errorStyle="stop" errorTitle="Pick from the list" error="Choose one of the options in the dropdown." sqref="C23">
      <formula1>Lists!$E$2:$E$11</formula1>
    </dataValidation>
    <dataValidation type="list" allowBlank="1" showErrorMessage="1" errorStyle="stop" errorTitle="Pick from the list" error="Choose one of the options in the dropdown." sqref="C25:C32">
      <formula1>Lists!$B$2:$B$9</formula1>
    </dataValidation>
    <dataValidation type="textLength" operator="lessThanOrEqual" allowBlank="1" showErrorMessage="1" error="200 characters or fewer." sqref="C3">
      <formula1>200</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35">
      <formula1>'Exercise Library'!$B$2:$B$319</formula1>
    </dataValidation>
    <dataValidation type="textLength" operator="lessThanOrEqual" allowBlank="1" showErrorMessage="1" error="200 characters or fewer." sqref="C36">
      <formula1>200</formula1>
    </dataValidation>
    <dataValidation type="list" allowBlank="1" showInputMessage="1" prompt="Same letter = same superset" showErrorMessage="1" errorStyle="stop" errorTitle="Pick from the list" error="Choose one of the options in the dropdown." sqref="C37">
      <formula1>Lists!$E$2:$E$11</formula1>
    </dataValidation>
    <dataValidation type="list" allowBlank="1" showErrorMessage="1" errorStyle="stop" errorTitle="Pick from the list" error="Choose one of the options in the dropdown." sqref="C39:C4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49">
      <formula1>'Exercise Library'!$B$2:$B$319</formula1>
    </dataValidation>
    <dataValidation type="textLength" operator="lessThanOrEqual" allowBlank="1" showErrorMessage="1" error="200 characters or fewer." sqref="C50">
      <formula1>200</formula1>
    </dataValidation>
    <dataValidation type="list" allowBlank="1" showInputMessage="1" prompt="Same letter = same superset" showErrorMessage="1" errorStyle="stop" errorTitle="Pick from the list" error="Choose one of the options in the dropdown." sqref="C51">
      <formula1>Lists!$E$2:$E$11</formula1>
    </dataValidation>
    <dataValidation type="list" allowBlank="1" showErrorMessage="1" errorStyle="stop" errorTitle="Pick from the list" error="Choose one of the options in the dropdown." sqref="C53:C6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63">
      <formula1>'Exercise Library'!$B$2:$B$319</formula1>
    </dataValidation>
    <dataValidation type="textLength" operator="lessThanOrEqual" allowBlank="1" showErrorMessage="1" error="200 characters or fewer." sqref="C64">
      <formula1>200</formula1>
    </dataValidation>
    <dataValidation type="list" allowBlank="1" showInputMessage="1" prompt="Same letter = same superset" showErrorMessage="1" errorStyle="stop" errorTitle="Pick from the list" error="Choose one of the options in the dropdown." sqref="C65">
      <formula1>Lists!$E$2:$E$11</formula1>
    </dataValidation>
    <dataValidation type="list" allowBlank="1" showErrorMessage="1" errorStyle="stop" errorTitle="Pick from the list" error="Choose one of the options in the dropdown." sqref="C67:C7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
      <formula1>'Exercise Library'!$B$2:$B$319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7">
      <formula1>'Exercise Library'!$B$2:$B$319</formula1>
    </dataValidation>
    <dataValidation type="textLength" operator="lessThanOrEqual" allowBlank="1" showErrorMessage="1" error="200 characters or fewer." sqref="C78">
      <formula1>200</formula1>
    </dataValidation>
    <dataValidation type="list" allowBlank="1" showInputMessage="1" prompt="Same letter = same superset" showErrorMessage="1" errorStyle="stop" errorTitle="Pick from the list" error="Choose one of the options in the dropdown." sqref="C79">
      <formula1>Lists!$E$2:$E$11</formula1>
    </dataValidation>
    <dataValidation type="textLength" operator="lessThanOrEqual" allowBlank="1" showErrorMessage="1" error="200 characters or fewer." sqref="C8">
      <formula1>200</formula1>
    </dataValidation>
    <dataValidation type="list" allowBlank="1" showErrorMessage="1" errorStyle="stop" errorTitle="Pick from the list" error="Choose one of the options in the dropdown." sqref="C81:C88">
      <formula1>Lists!$B$2:$B$9</formula1>
    </dataValidation>
    <dataValidation type="list" allowBlank="1" showInputMessage="1" prompt="Same letter = same superset" showErrorMessage="1" errorStyle="stop" errorTitle="Pick from the list" error="Choose one of the options in the dropdown." sqref="C9">
      <formula1>Lists!$E$2:$E$11</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91">
      <formula1>'Exercise Library'!$B$2:$B$319</formula1>
    </dataValidation>
    <dataValidation type="textLength" operator="lessThanOrEqual" allowBlank="1" showErrorMessage="1" error="200 characters or fewer." sqref="C92">
      <formula1>200</formula1>
    </dataValidation>
    <dataValidation type="list" allowBlank="1" showInputMessage="1" prompt="Same letter = same superset" showErrorMessage="1" errorStyle="stop" errorTitle="Pick from the list" error="Choose one of the options in the dropdown." sqref="C93">
      <formula1>Lists!$E$2:$E$11</formula1>
    </dataValidation>
    <dataValidation type="list" allowBlank="1" showErrorMessage="1" errorStyle="stop" errorTitle="Pick from the list" error="Choose one of the options in the dropdown." sqref="C95:C102">
      <formula1>Lists!$B$2:$B$9</formula1>
    </dataValidation>
    <dataValidation type="decimal" allowBlank="1" showErrorMessage="1" error="Goal weight: a number from 0 to 2000 (lbs)." sqref="D109:D116">
      <formula1>0</formula1>
      <formula2>2000</formula2>
    </dataValidation>
    <dataValidation type="decimal" allowBlank="1" showErrorMessage="1" error="Goal weight: a number from 0 to 2000 (lbs)." sqref="D11:D18">
      <formula1>0</formula1>
      <formula2>2000</formula2>
    </dataValidation>
    <dataValidation type="decimal" allowBlank="1" showErrorMessage="1" error="Goal weight: a number from 0 to 2000 (lbs)." sqref="D123:D130">
      <formula1>0</formula1>
      <formula2>2000</formula2>
    </dataValidation>
    <dataValidation type="decimal" allowBlank="1" showErrorMessage="1" error="Goal weight: a number from 0 to 2000 (lbs)." sqref="D137:D144">
      <formula1>0</formula1>
      <formula2>2000</formula2>
    </dataValidation>
    <dataValidation type="decimal" allowBlank="1" showErrorMessage="1" error="Goal weight: a number from 0 to 2000 (lbs)." sqref="D151:D158">
      <formula1>0</formula1>
      <formula2>2000</formula2>
    </dataValidation>
    <dataValidation type="decimal" allowBlank="1" showErrorMessage="1" error="Goal weight: a number from 0 to 2000 (lbs)." sqref="D165:D172">
      <formula1>0</formula1>
      <formula2>2000</formula2>
    </dataValidation>
    <dataValidation type="decimal" allowBlank="1" showErrorMessage="1" error="Goal weight: a number from 0 to 2000 (lbs)." sqref="D179:D186">
      <formula1>0</formula1>
      <formula2>2000</formula2>
    </dataValidation>
    <dataValidation type="decimal" allowBlank="1" showErrorMessage="1" error="Goal weight: a number from 0 to 2000 (lbs)." sqref="D193:D200">
      <formula1>0</formula1>
      <formula2>2000</formula2>
    </dataValidation>
    <dataValidation type="decimal" allowBlank="1" showErrorMessage="1" error="Goal weight: a number from 0 to 2000 (lbs)." sqref="D207:D214">
      <formula1>0</formula1>
      <formula2>2000</formula2>
    </dataValidation>
    <dataValidation type="decimal" allowBlank="1" showErrorMessage="1" error="Goal weight: a number from 0 to 2000 (lbs)." sqref="D25:D32">
      <formula1>0</formula1>
      <formula2>2000</formula2>
    </dataValidation>
    <dataValidation type="decimal" allowBlank="1" showErrorMessage="1" error="Goal weight: a number from 0 to 2000 (lbs)." sqref="D39:D46">
      <formula1>0</formula1>
      <formula2>2000</formula2>
    </dataValidation>
    <dataValidation type="decimal" allowBlank="1" showErrorMessage="1" error="Goal weight: a number from 0 to 2000 (lbs)." sqref="D53:D60">
      <formula1>0</formula1>
      <formula2>2000</formula2>
    </dataValidation>
    <dataValidation type="decimal" allowBlank="1" showErrorMessage="1" error="Goal weight: a number from 0 to 2000 (lbs)." sqref="D67:D74">
      <formula1>0</formula1>
      <formula2>2000</formula2>
    </dataValidation>
    <dataValidation type="decimal" allowBlank="1" showErrorMessage="1" error="Goal weight: a number from 0 to 2000 (lbs)." sqref="D81:D88">
      <formula1>0</formula1>
      <formula2>2000</formula2>
    </dataValidation>
    <dataValidation type="decimal" allowBlank="1" showErrorMessage="1" error="Goal weight: a number from 0 to 2000 (lbs)." sqref="D95:D102">
      <formula1>0</formula1>
      <formula2>2000</formula2>
    </dataValidation>
    <dataValidation type="list" allowBlank="1" showInputMessage="1" prompt="Muscle group for the custom exercise" showErrorMessage="1" errorStyle="stop" errorTitle="Pick from the list" error="Choose one of the options in the dropdown." sqref="E106">
      <formula1>Lists!$D$2:$D$15</formula1>
    </dataValidation>
    <dataValidation type="whole" allowBlank="1" showErrorMessage="1" error="Goal reps: a whole number from 0 to 100." sqref="E109:E116">
      <formula1>0</formula1>
      <formula2>100</formula2>
    </dataValidation>
    <dataValidation type="whole" allowBlank="1" showErrorMessage="1" error="Goal reps: a whole number from 0 to 100." sqref="E11:E18">
      <formula1>0</formula1>
      <formula2>100</formula2>
    </dataValidation>
    <dataValidation type="list" allowBlank="1" showInputMessage="1" prompt="Muscle group for the custom exercise" showErrorMessage="1" errorStyle="stop" errorTitle="Pick from the list" error="Choose one of the options in the dropdown." sqref="E120">
      <formula1>Lists!$D$2:$D$15</formula1>
    </dataValidation>
    <dataValidation type="whole" allowBlank="1" showErrorMessage="1" error="Goal reps: a whole number from 0 to 100." sqref="E123:E130">
      <formula1>0</formula1>
      <formula2>100</formula2>
    </dataValidation>
    <dataValidation type="list" allowBlank="1" showInputMessage="1" prompt="Muscle group for the custom exercise" showErrorMessage="1" errorStyle="stop" errorTitle="Pick from the list" error="Choose one of the options in the dropdown." sqref="E134">
      <formula1>Lists!$D$2:$D$15</formula1>
    </dataValidation>
    <dataValidation type="whole" allowBlank="1" showErrorMessage="1" error="Goal reps: a whole number from 0 to 100." sqref="E137:E144">
      <formula1>0</formula1>
      <formula2>100</formula2>
    </dataValidation>
    <dataValidation type="list" allowBlank="1" showInputMessage="1" prompt="Muscle group for the custom exercise" showErrorMessage="1" errorStyle="stop" errorTitle="Pick from the list" error="Choose one of the options in the dropdown." sqref="E148">
      <formula1>Lists!$D$2:$D$15</formula1>
    </dataValidation>
    <dataValidation type="whole" allowBlank="1" showErrorMessage="1" error="Goal reps: a whole number from 0 to 100." sqref="E151:E158">
      <formula1>0</formula1>
      <formula2>100</formula2>
    </dataValidation>
    <dataValidation type="list" allowBlank="1" showInputMessage="1" prompt="Muscle group for the custom exercise" showErrorMessage="1" errorStyle="stop" errorTitle="Pick from the list" error="Choose one of the options in the dropdown." sqref="E162">
      <formula1>Lists!$D$2:$D$15</formula1>
    </dataValidation>
    <dataValidation type="whole" allowBlank="1" showErrorMessage="1" error="Goal reps: a whole number from 0 to 100." sqref="E165:E172">
      <formula1>0</formula1>
      <formula2>100</formula2>
    </dataValidation>
    <dataValidation type="list" allowBlank="1" showInputMessage="1" prompt="Muscle group for the custom exercise" showErrorMessage="1" errorStyle="stop" errorTitle="Pick from the list" error="Choose one of the options in the dropdown." sqref="E176">
      <formula1>Lists!$D$2:$D$15</formula1>
    </dataValidation>
    <dataValidation type="whole" allowBlank="1" showErrorMessage="1" error="Goal reps: a whole number from 0 to 100." sqref="E179:E186">
      <formula1>0</formula1>
      <formula2>100</formula2>
    </dataValidation>
    <dataValidation type="list" allowBlank="1" showInputMessage="1" prompt="Muscle group for the custom exercise" showErrorMessage="1" errorStyle="stop" errorTitle="Pick from the list" error="Choose one of the options in the dropdown." sqref="E190">
      <formula1>Lists!$D$2:$D$15</formula1>
    </dataValidation>
    <dataValidation type="whole" allowBlank="1" showErrorMessage="1" error="Goal reps: a whole number from 0 to 100." sqref="E193:E200">
      <formula1>0</formula1>
      <formula2>100</formula2>
    </dataValidation>
    <dataValidation type="list" allowBlank="1" showInputMessage="1" prompt="Muscle group for the custom exercise" showErrorMessage="1" errorStyle="stop" errorTitle="Pick from the list" error="Choose one of the options in the dropdown." sqref="E204">
      <formula1>Lists!$D$2:$D$15</formula1>
    </dataValidation>
    <dataValidation type="whole" allowBlank="1" showErrorMessage="1" error="Goal reps: a whole number from 0 to 100." sqref="E207:E214">
      <formula1>0</formula1>
      <formula2>100</formula2>
    </dataValidation>
    <dataValidation type="list" allowBlank="1" showInputMessage="1" prompt="Muscle group for the custom exercise" showErrorMessage="1" errorStyle="stop" errorTitle="Pick from the list" error="Choose one of the options in the dropdown." sqref="E22">
      <formula1>Lists!$D$2:$D$15</formula1>
    </dataValidation>
    <dataValidation type="whole" allowBlank="1" showErrorMessage="1" error="Goal reps: a whole number from 0 to 100." sqref="E25:E32">
      <formula1>0</formula1>
      <formula2>100</formula2>
    </dataValidation>
    <dataValidation type="list" allowBlank="1" showInputMessage="1" prompt="Muscle group for the custom exercise" showErrorMessage="1" errorStyle="stop" errorTitle="Pick from the list" error="Choose one of the options in the dropdown." sqref="E36">
      <formula1>Lists!$D$2:$D$15</formula1>
    </dataValidation>
    <dataValidation type="whole" allowBlank="1" showErrorMessage="1" error="Goal reps: a whole number from 0 to 100." sqref="E39:E46">
      <formula1>0</formula1>
      <formula2>100</formula2>
    </dataValidation>
    <dataValidation type="list" allowBlank="1" showInputMessage="1" prompt="Muscle group for the custom exercise" showErrorMessage="1" errorStyle="stop" errorTitle="Pick from the list" error="Choose one of the options in the dropdown." sqref="E50">
      <formula1>Lists!$D$2:$D$15</formula1>
    </dataValidation>
    <dataValidation type="whole" allowBlank="1" showErrorMessage="1" error="Goal reps: a whole number from 0 to 100." sqref="E53:E60">
      <formula1>0</formula1>
      <formula2>100</formula2>
    </dataValidation>
    <dataValidation type="list" allowBlank="1" showInputMessage="1" prompt="Muscle group for the custom exercise" showErrorMessage="1" errorStyle="stop" errorTitle="Pick from the list" error="Choose one of the options in the dropdown." sqref="E64">
      <formula1>Lists!$D$2:$D$15</formula1>
    </dataValidation>
    <dataValidation type="whole" allowBlank="1" showErrorMessage="1" error="Goal reps: a whole number from 0 to 100." sqref="E67:E74">
      <formula1>0</formula1>
      <formula2>100</formula2>
    </dataValidation>
    <dataValidation type="list" allowBlank="1" showInputMessage="1" prompt="Muscle group for the custom exercise" showErrorMessage="1" errorStyle="stop" errorTitle="Pick from the list" error="Choose one of the options in the dropdown." sqref="E78">
      <formula1>Lists!$D$2:$D$15</formula1>
    </dataValidation>
    <dataValidation type="list" allowBlank="1" showInputMessage="1" prompt="Muscle group for the custom exercise" showErrorMessage="1" errorStyle="stop" errorTitle="Pick from the list" error="Choose one of the options in the dropdown." sqref="E8">
      <formula1>Lists!$D$2:$D$15</formula1>
    </dataValidation>
    <dataValidation type="whole" allowBlank="1" showErrorMessage="1" error="Goal reps: a whole number from 0 to 100." sqref="E81:E88">
      <formula1>0</formula1>
      <formula2>100</formula2>
    </dataValidation>
    <dataValidation type="list" allowBlank="1" showInputMessage="1" prompt="Muscle group for the custom exercise" showErrorMessage="1" errorStyle="stop" errorTitle="Pick from the list" error="Choose one of the options in the dropdown." sqref="E92">
      <formula1>Lists!$D$2:$D$15</formula1>
    </dataValidation>
    <dataValidation type="whole" allowBlank="1" showErrorMessage="1" error="Goal reps: a whole number from 0 to 100." sqref="E95:E102">
      <formula1>0</formula1>
      <formula2>100</formula2>
    </dataValidation>
    <dataValidation type="textLength" operator="lessThanOrEqual" allowBlank="1" showErrorMessage="1" error="Keep the rep range short, e.g. 8-12." sqref="F109:F116">
      <formula1>20</formula1>
    </dataValidation>
    <dataValidation type="textLength" operator="lessThanOrEqual" allowBlank="1" showErrorMessage="1" error="Keep the rep range short, e.g. 8-12." sqref="F11:F18">
      <formula1>20</formula1>
    </dataValidation>
    <dataValidation type="textLength" operator="lessThanOrEqual" allowBlank="1" showErrorMessage="1" error="Keep the rep range short, e.g. 8-12." sqref="F123:F130">
      <formula1>20</formula1>
    </dataValidation>
    <dataValidation type="textLength" operator="lessThanOrEqual" allowBlank="1" showErrorMessage="1" error="Keep the rep range short, e.g. 8-12." sqref="F137:F144">
      <formula1>20</formula1>
    </dataValidation>
    <dataValidation type="textLength" operator="lessThanOrEqual" allowBlank="1" showErrorMessage="1" error="Keep the rep range short, e.g. 8-12." sqref="F151:F158">
      <formula1>20</formula1>
    </dataValidation>
    <dataValidation type="textLength" operator="lessThanOrEqual" allowBlank="1" showErrorMessage="1" error="Keep the rep range short, e.g. 8-12." sqref="F165:F172">
      <formula1>20</formula1>
    </dataValidation>
    <dataValidation type="textLength" operator="lessThanOrEqual" allowBlank="1" showErrorMessage="1" error="Keep the rep range short, e.g. 8-12." sqref="F179:F186">
      <formula1>20</formula1>
    </dataValidation>
    <dataValidation type="textLength" operator="lessThanOrEqual" allowBlank="1" showErrorMessage="1" error="Keep the rep range short, e.g. 8-12." sqref="F193:F200">
      <formula1>20</formula1>
    </dataValidation>
    <dataValidation type="textLength" operator="lessThanOrEqual" allowBlank="1" showErrorMessage="1" error="Keep the rep range short, e.g. 8-12." sqref="F207:F214">
      <formula1>20</formula1>
    </dataValidation>
    <dataValidation type="textLength" operator="lessThanOrEqual" allowBlank="1" showErrorMessage="1" error="Keep the rep range short, e.g. 8-12." sqref="F25:F32">
      <formula1>20</formula1>
    </dataValidation>
    <dataValidation type="textLength" operator="lessThanOrEqual" allowBlank="1" showErrorMessage="1" error="Keep the rep range short, e.g. 8-12." sqref="F39:F46">
      <formula1>20</formula1>
    </dataValidation>
    <dataValidation type="textLength" operator="lessThanOrEqual" allowBlank="1" showErrorMessage="1" error="Keep the rep range short, e.g. 8-12." sqref="F53:F60">
      <formula1>20</formula1>
    </dataValidation>
    <dataValidation type="textLength" operator="lessThanOrEqual" allowBlank="1" showErrorMessage="1" error="Keep the rep range short, e.g. 8-12." sqref="F67:F74">
      <formula1>20</formula1>
    </dataValidation>
    <dataValidation type="textLength" operator="lessThanOrEqual" allowBlank="1" showErrorMessage="1" error="Keep the rep range short, e.g. 8-12." sqref="F81:F88">
      <formula1>20</formula1>
    </dataValidation>
    <dataValidation type="textLength" operator="lessThanOrEqual" allowBlank="1" showErrorMessage="1" error="Keep the rep range short, e.g. 8-12." sqref="F95:F102">
      <formula1>20</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A6EA5"/>
  </sheetPr>
  <dimension ref="A1:Q214"/>
  <sheetViews>
    <sheetView workbookViewId="0" showGridLines="0">
      <pane ySplit="4" topLeftCell="A5" activePane="bottomLeft" state="frozen"/>
      <selection pane="bottomLeft"/>
    </sheetView>
  </sheetViews>
  <sheetFormatPr defaultRowHeight="15" outlineLevelRow="0" outlineLevelCol="0" x14ac:dyDescent="55"/>
  <cols>
    <col min="1" max="1" width="2" customWidth="1"/>
    <col min="2" max="2" width="13" customWidth="1"/>
    <col min="3" max="3" width="18" customWidth="1"/>
    <col min="4" max="6" width="14" customWidth="1"/>
    <col min="7" max="7" width="40" customWidth="1"/>
    <col min="14" max="14" width="9" hidden="1" customWidth="1"/>
    <col min="15" max="15" width="9" hidden="1" customWidth="1"/>
    <col min="16" max="16" width="9" hidden="1" customWidth="1"/>
    <col min="17" max="17" width="9" hidden="1" customWidth="1"/>
  </cols>
  <sheetData>
    <row r="1" ht="30" customHeight="1" spans="1:15" x14ac:dyDescent="0.25">
      <c r="A1" s="14">
        <f>IF($O$1="FILL","✅  FILL OUT THIS SHEET — Workout 5",IF($O$1="SKIP","⛔  NOT NEEDED — leave this sheet blank","Start on the Start sheet: answer question 1 first"))</f>
      </c>
      <c r="B1" s="14"/>
      <c r="C1" s="14"/>
      <c r="D1" s="14"/>
      <c r="E1" s="14"/>
      <c r="F1" s="14"/>
      <c r="G1" s="14"/>
      <c r="O1">
        <f>IF(Start!$C$4="Single Workout","SKIP",IF(Start!$C$4="Program",IF(5&lt;=N(Start!$C$9),"FILL","SKIP"),""))</f>
      </c>
    </row>
    <row r="2" spans="15:15" x14ac:dyDescent="0.25">
      <c r="O2">
        <f>IF($O$1="FILL",COUNTIF($G$3:$G$214,"⚠*"),0)</f>
      </c>
    </row>
    <row r="3" ht="26" customHeight="1" spans="2:7" x14ac:dyDescent="0.25">
      <c r="B3" s="15" t="s">
        <v>42</v>
      </c>
      <c r="C3" s="16"/>
      <c r="D3" s="16"/>
      <c r="E3" s="16"/>
      <c r="F3" s="16"/>
      <c r="G3" s="17">
        <f>IFERROR(IF($O$1&lt;&gt;"FILL","",IF($C$3="","⚠ Name this workout",IF($C$3="REST","⚠ REST is reserved for rest days — pick another name",IF(COUNTIF(Lists!$A$3:$A$14,$C$3)&gt;1,"⚠ Another workout has this name",IF(COUNTA($C$7,$C$8,$C$21,$C$22,$C$35,$C$36,$C$49,$C$50,$C$63,$C$64,$C$77,$C$78,$C$91,$C$92,$C$105,$C$106,$C$119,$C$120,$C$133,$C$134,$C$147,$C$148,$C$161,$C$162,$C$175,$C$176,$C$189,$C$190,$C$203,$C$204)=0,"⚠ Add at least one exercise","✓ Looks good"))))),"⚠ Check this row")</f>
      </c>
    </row>
    <row r="4" ht="30" customHeight="1" spans="2:6" x14ac:dyDescent="0.25">
      <c r="B4" s="15" t="s">
        <v>43</v>
      </c>
      <c r="C4" s="5"/>
      <c r="D4" s="5"/>
      <c r="E4" s="5"/>
      <c r="F4" s="5"/>
    </row>
    <row r="6" spans="2:6" x14ac:dyDescent="0.25">
      <c r="B6" s="18" t="s">
        <v>44</v>
      </c>
      <c r="C6" s="19"/>
      <c r="D6" s="19"/>
      <c r="E6" s="5"/>
      <c r="F6" s="5"/>
    </row>
    <row r="7" ht="24" customHeight="1" spans="2:16" x14ac:dyDescent="0.25">
      <c r="B7" s="20" t="s">
        <v>45</v>
      </c>
      <c r="C7" s="21"/>
      <c r="D7" s="21"/>
      <c r="E7" s="21"/>
      <c r="F7" s="21"/>
      <c r="G7" s="4">
        <f>IFERROR(IF(AND($C$7="",$C$8=""),IF(COUNTA($C$6:$F$6,$E$9,$C$11:$F$18)+COUNTA($E$8,$C$9)&gt;0,"⚠ Pick an exercise for this card",""),IF(AND($C$7&lt;&gt;"",$C$8&lt;&gt;""),"⚠ Use the library OR a custom exercise, not both",IF(AND($C$8&lt;&gt;"",$E$8=""),"⚠ Pick a muscle group for the custom exercise",IF(COUNT($E$11:$E$18)=0,"⚠ Enter Goal Reps for at least one set",IF(SUM($Q$11:$Q$18)&gt;0,"⚠ A set is missing Goal Reps",IF(IF($C$9="",1=0,COUNTIF($P$7:$P$214,$C$9)&lt;2),"⚠ Superset "&amp;$C$9&amp;" needs 2+ exercises",IF($C$7&lt;&gt;"",IFERROR("✓ "&amp;INDEX('Exercise Library'!$C$2:$C$319,MATCH($C$7,'Exercise Library'!$B$2:$B$319,0))&amp;IF(INDEX('Exercise Library'!$D$2:$D$319,MATCH($C$7,'Exercise Library'!$B$2:$B$319,0))="Yes"," · demo video","")&amp;" · "&amp;COUNT($E$11:$E$18)&amp;" sets","⚠ Not in the library — use Custom"),"✓ Custom ("&amp;$E$8&amp;") · "&amp;COUNT($E$11:$E$18)&amp;" sets"))))))),"⚠ Check this row")</f>
      </c>
      <c r="P7">
        <f>IF(OR($C$7&lt;&gt;"",$C$8&lt;&gt;""),$C$9,"")</f>
      </c>
    </row>
    <row r="8" spans="2:6" x14ac:dyDescent="0.25">
      <c r="B8" s="18" t="s">
        <v>46</v>
      </c>
      <c r="C8" s="5"/>
      <c r="D8" s="5"/>
      <c r="E8" s="5"/>
      <c r="F8" s="18" t="s">
        <v>47</v>
      </c>
    </row>
    <row r="9" ht="22" customHeight="1" spans="2:6" x14ac:dyDescent="0.25">
      <c r="B9" s="18" t="s">
        <v>48</v>
      </c>
      <c r="C9" s="22"/>
      <c r="D9" s="18" t="s">
        <v>49</v>
      </c>
      <c r="E9" s="5"/>
      <c r="F9" s="5"/>
    </row>
    <row r="10" spans="2:6" x14ac:dyDescent="0.25">
      <c r="B10" s="23" t="s">
        <v>50</v>
      </c>
      <c r="C10" s="23" t="s">
        <v>51</v>
      </c>
      <c r="D10" s="23" t="s">
        <v>52</v>
      </c>
      <c r="E10" s="23" t="s">
        <v>53</v>
      </c>
      <c r="F10" s="23" t="s">
        <v>54</v>
      </c>
    </row>
    <row r="11" spans="2:17" x14ac:dyDescent="0.25">
      <c r="B11" s="24">
        <v>1</v>
      </c>
      <c r="C11" s="22"/>
      <c r="D11" s="22"/>
      <c r="E11" s="22"/>
      <c r="F11" s="22"/>
      <c r="Q11">
        <f>IF(AND($E11="",COUNTA($C11:$D11,$F11)&gt;0),1,0)</f>
      </c>
    </row>
    <row r="12" spans="2:17" x14ac:dyDescent="0.25">
      <c r="B12" s="24">
        <v>2</v>
      </c>
      <c r="C12" s="22"/>
      <c r="D12" s="22"/>
      <c r="E12" s="22"/>
      <c r="F12" s="22"/>
      <c r="Q12">
        <f>IF(AND($E12="",COUNTA($C12:$D12,$F12)&gt;0),1,0)</f>
      </c>
    </row>
    <row r="13" spans="2:17" x14ac:dyDescent="0.25">
      <c r="B13" s="24">
        <v>3</v>
      </c>
      <c r="C13" s="22"/>
      <c r="D13" s="22"/>
      <c r="E13" s="22"/>
      <c r="F13" s="22"/>
      <c r="Q13">
        <f>IF(AND($E13="",COUNTA($C13:$D13,$F13)&gt;0),1,0)</f>
      </c>
    </row>
    <row r="14" spans="2:17" x14ac:dyDescent="0.25">
      <c r="B14" s="24">
        <v>4</v>
      </c>
      <c r="C14" s="22"/>
      <c r="D14" s="22"/>
      <c r="E14" s="22"/>
      <c r="F14" s="22"/>
      <c r="Q14">
        <f>IF(AND($E14="",COUNTA($C14:$D14,$F14)&gt;0),1,0)</f>
      </c>
    </row>
    <row r="15" spans="2:17" x14ac:dyDescent="0.25">
      <c r="B15" s="24">
        <v>5</v>
      </c>
      <c r="C15" s="22"/>
      <c r="D15" s="22"/>
      <c r="E15" s="22"/>
      <c r="F15" s="22"/>
      <c r="Q15">
        <f>IF(AND($E15="",COUNTA($C15:$D15,$F15)&gt;0),1,0)</f>
      </c>
    </row>
    <row r="16" spans="2:17" x14ac:dyDescent="0.25">
      <c r="B16" s="24">
        <v>6</v>
      </c>
      <c r="C16" s="22"/>
      <c r="D16" s="22"/>
      <c r="E16" s="22"/>
      <c r="F16" s="22"/>
      <c r="Q16">
        <f>IF(AND($E16="",COUNTA($C16:$D16,$F16)&gt;0),1,0)</f>
      </c>
    </row>
    <row r="17" spans="2:17" x14ac:dyDescent="0.25">
      <c r="B17" s="24">
        <v>7</v>
      </c>
      <c r="C17" s="22"/>
      <c r="D17" s="22"/>
      <c r="E17" s="22"/>
      <c r="F17" s="22"/>
      <c r="Q17">
        <f>IF(AND($E17="",COUNTA($C17:$D17,$F17)&gt;0),1,0)</f>
      </c>
    </row>
    <row r="18" spans="2:17" x14ac:dyDescent="0.25">
      <c r="B18" s="24">
        <v>8</v>
      </c>
      <c r="C18" s="22"/>
      <c r="D18" s="22"/>
      <c r="E18" s="22"/>
      <c r="F18" s="22"/>
      <c r="Q18">
        <f>IF(AND($E18="",COUNTA($C18:$D18,$F18)&gt;0),1,0)</f>
      </c>
    </row>
    <row r="20" spans="2:6" x14ac:dyDescent="0.25">
      <c r="B20" s="18" t="s">
        <v>44</v>
      </c>
      <c r="C20" s="19"/>
      <c r="D20" s="19"/>
      <c r="E20" s="5"/>
      <c r="F20" s="5"/>
    </row>
    <row r="21" ht="24" customHeight="1" spans="2:16" x14ac:dyDescent="0.25">
      <c r="B21" s="20" t="s">
        <v>55</v>
      </c>
      <c r="C21" s="21"/>
      <c r="D21" s="21"/>
      <c r="E21" s="21"/>
      <c r="F21" s="21"/>
      <c r="G21" s="4">
        <f>IFERROR(IF(AND($C$21="",$C$22=""),IF(COUNTA($C$20:$F$20,$E$23,$C$25:$F$32)+COUNTA($E$22,$C$23)&gt;0,"⚠ Pick an exercise for this card",""),IF(AND($C$21&lt;&gt;"",$C$22&lt;&gt;""),"⚠ Use the library OR a custom exercise, not both",IF(AND($C$22&lt;&gt;"",$E$22=""),"⚠ Pick a muscle group for the custom exercise",IF(COUNT($E$25:$E$32)=0,"⚠ Enter Goal Reps for at least one set",IF(SUM($Q$25:$Q$32)&gt;0,"⚠ A set is missing Goal Reps",IF(IF($C$23="",1=0,COUNTIF($P$7:$P$214,$C$23)&lt;2),"⚠ Superset "&amp;$C$23&amp;" needs 2+ exercises",IF($C$21&lt;&gt;"",IFERROR("✓ "&amp;INDEX('Exercise Library'!$C$2:$C$319,MATCH($C$21,'Exercise Library'!$B$2:$B$319,0))&amp;IF(INDEX('Exercise Library'!$D$2:$D$319,MATCH($C$21,'Exercise Library'!$B$2:$B$319,0))="Yes"," · demo video","")&amp;" · "&amp;COUNT($E$25:$E$32)&amp;" sets","⚠ Not in the library — use Custom"),"✓ Custom ("&amp;$E$22&amp;") · "&amp;COUNT($E$25:$E$32)&amp;" sets"))))))),"⚠ Check this row")</f>
      </c>
      <c r="P21">
        <f>IF(OR($C$21&lt;&gt;"",$C$22&lt;&gt;""),$C$23,"")</f>
      </c>
    </row>
    <row r="22" spans="2:6" x14ac:dyDescent="0.25">
      <c r="B22" s="18" t="s">
        <v>46</v>
      </c>
      <c r="C22" s="5"/>
      <c r="D22" s="5"/>
      <c r="E22" s="5"/>
      <c r="F22" s="18" t="s">
        <v>47</v>
      </c>
    </row>
    <row r="23" ht="22" customHeight="1" spans="2:6" x14ac:dyDescent="0.25">
      <c r="B23" s="18" t="s">
        <v>48</v>
      </c>
      <c r="C23" s="22"/>
      <c r="D23" s="18" t="s">
        <v>49</v>
      </c>
      <c r="E23" s="5"/>
      <c r="F23" s="5"/>
    </row>
    <row r="24" spans="2:6" x14ac:dyDescent="0.25">
      <c r="B24" s="23" t="s">
        <v>50</v>
      </c>
      <c r="C24" s="23" t="s">
        <v>51</v>
      </c>
      <c r="D24" s="23" t="s">
        <v>52</v>
      </c>
      <c r="E24" s="23" t="s">
        <v>53</v>
      </c>
      <c r="F24" s="23" t="s">
        <v>54</v>
      </c>
    </row>
    <row r="25" spans="2:17" x14ac:dyDescent="0.25">
      <c r="B25" s="24">
        <v>1</v>
      </c>
      <c r="C25" s="22"/>
      <c r="D25" s="22"/>
      <c r="E25" s="22"/>
      <c r="F25" s="22"/>
      <c r="Q25">
        <f>IF(AND($E25="",COUNTA($C25:$D25,$F25)&gt;0),1,0)</f>
      </c>
    </row>
    <row r="26" spans="2:17" x14ac:dyDescent="0.25">
      <c r="B26" s="24">
        <v>2</v>
      </c>
      <c r="C26" s="22"/>
      <c r="D26" s="22"/>
      <c r="E26" s="22"/>
      <c r="F26" s="22"/>
      <c r="Q26">
        <f>IF(AND($E26="",COUNTA($C26:$D26,$F26)&gt;0),1,0)</f>
      </c>
    </row>
    <row r="27" spans="2:17" x14ac:dyDescent="0.25">
      <c r="B27" s="24">
        <v>3</v>
      </c>
      <c r="C27" s="22"/>
      <c r="D27" s="22"/>
      <c r="E27" s="22"/>
      <c r="F27" s="22"/>
      <c r="Q27">
        <f>IF(AND($E27="",COUNTA($C27:$D27,$F27)&gt;0),1,0)</f>
      </c>
    </row>
    <row r="28" spans="2:17" x14ac:dyDescent="0.25">
      <c r="B28" s="24">
        <v>4</v>
      </c>
      <c r="C28" s="22"/>
      <c r="D28" s="22"/>
      <c r="E28" s="22"/>
      <c r="F28" s="22"/>
      <c r="Q28">
        <f>IF(AND($E28="",COUNTA($C28:$D28,$F28)&gt;0),1,0)</f>
      </c>
    </row>
    <row r="29" spans="2:17" x14ac:dyDescent="0.25">
      <c r="B29" s="24">
        <v>5</v>
      </c>
      <c r="C29" s="22"/>
      <c r="D29" s="22"/>
      <c r="E29" s="22"/>
      <c r="F29" s="22"/>
      <c r="Q29">
        <f>IF(AND($E29="",COUNTA($C29:$D29,$F29)&gt;0),1,0)</f>
      </c>
    </row>
    <row r="30" spans="2:17" x14ac:dyDescent="0.25">
      <c r="B30" s="24">
        <v>6</v>
      </c>
      <c r="C30" s="22"/>
      <c r="D30" s="22"/>
      <c r="E30" s="22"/>
      <c r="F30" s="22"/>
      <c r="Q30">
        <f>IF(AND($E30="",COUNTA($C30:$D30,$F30)&gt;0),1,0)</f>
      </c>
    </row>
    <row r="31" spans="2:17" x14ac:dyDescent="0.25">
      <c r="B31" s="24">
        <v>7</v>
      </c>
      <c r="C31" s="22"/>
      <c r="D31" s="22"/>
      <c r="E31" s="22"/>
      <c r="F31" s="22"/>
      <c r="Q31">
        <f>IF(AND($E31="",COUNTA($C31:$D31,$F31)&gt;0),1,0)</f>
      </c>
    </row>
    <row r="32" spans="2:17" x14ac:dyDescent="0.25">
      <c r="B32" s="24">
        <v>8</v>
      </c>
      <c r="C32" s="22"/>
      <c r="D32" s="22"/>
      <c r="E32" s="22"/>
      <c r="F32" s="22"/>
      <c r="Q32">
        <f>IF(AND($E32="",COUNTA($C32:$D32,$F32)&gt;0),1,0)</f>
      </c>
    </row>
    <row r="34" spans="2:6" x14ac:dyDescent="0.25">
      <c r="B34" s="18" t="s">
        <v>44</v>
      </c>
      <c r="C34" s="19"/>
      <c r="D34" s="19"/>
      <c r="E34" s="5"/>
      <c r="F34" s="5"/>
    </row>
    <row r="35" ht="24" customHeight="1" spans="2:16" x14ac:dyDescent="0.25">
      <c r="B35" s="20" t="s">
        <v>56</v>
      </c>
      <c r="C35" s="21"/>
      <c r="D35" s="21"/>
      <c r="E35" s="21"/>
      <c r="F35" s="21"/>
      <c r="G35" s="4">
        <f>IFERROR(IF(AND($C$35="",$C$36=""),IF(COUNTA($C$34:$F$34,$E$37,$C$39:$F$46)+COUNTA($E$36,$C$37)&gt;0,"⚠ Pick an exercise for this card",""),IF(AND($C$35&lt;&gt;"",$C$36&lt;&gt;""),"⚠ Use the library OR a custom exercise, not both",IF(AND($C$36&lt;&gt;"",$E$36=""),"⚠ Pick a muscle group for the custom exercise",IF(COUNT($E$39:$E$46)=0,"⚠ Enter Goal Reps for at least one set",IF(SUM($Q$39:$Q$46)&gt;0,"⚠ A set is missing Goal Reps",IF(IF($C$37="",1=0,COUNTIF($P$7:$P$214,$C$37)&lt;2),"⚠ Superset "&amp;$C$37&amp;" needs 2+ exercises",IF($C$35&lt;&gt;"",IFERROR("✓ "&amp;INDEX('Exercise Library'!$C$2:$C$319,MATCH($C$35,'Exercise Library'!$B$2:$B$319,0))&amp;IF(INDEX('Exercise Library'!$D$2:$D$319,MATCH($C$35,'Exercise Library'!$B$2:$B$319,0))="Yes"," · demo video","")&amp;" · "&amp;COUNT($E$39:$E$46)&amp;" sets","⚠ Not in the library — use Custom"),"✓ Custom ("&amp;$E$36&amp;") · "&amp;COUNT($E$39:$E$46)&amp;" sets"))))))),"⚠ Check this row")</f>
      </c>
      <c r="P35">
        <f>IF(OR($C$35&lt;&gt;"",$C$36&lt;&gt;""),$C$37,"")</f>
      </c>
    </row>
    <row r="36" spans="2:6" x14ac:dyDescent="0.25">
      <c r="B36" s="18" t="s">
        <v>46</v>
      </c>
      <c r="C36" s="5"/>
      <c r="D36" s="5"/>
      <c r="E36" s="5"/>
      <c r="F36" s="18" t="s">
        <v>47</v>
      </c>
    </row>
    <row r="37" ht="22" customHeight="1" spans="2:6" x14ac:dyDescent="0.25">
      <c r="B37" s="18" t="s">
        <v>48</v>
      </c>
      <c r="C37" s="22"/>
      <c r="D37" s="18" t="s">
        <v>49</v>
      </c>
      <c r="E37" s="5"/>
      <c r="F37" s="5"/>
    </row>
    <row r="38" spans="2:6" x14ac:dyDescent="0.25">
      <c r="B38" s="23" t="s">
        <v>50</v>
      </c>
      <c r="C38" s="23" t="s">
        <v>51</v>
      </c>
      <c r="D38" s="23" t="s">
        <v>52</v>
      </c>
      <c r="E38" s="23" t="s">
        <v>53</v>
      </c>
      <c r="F38" s="23" t="s">
        <v>54</v>
      </c>
    </row>
    <row r="39" spans="2:17" x14ac:dyDescent="0.25">
      <c r="B39" s="24">
        <v>1</v>
      </c>
      <c r="C39" s="22"/>
      <c r="D39" s="22"/>
      <c r="E39" s="22"/>
      <c r="F39" s="22"/>
      <c r="Q39">
        <f>IF(AND($E39="",COUNTA($C39:$D39,$F39)&gt;0),1,0)</f>
      </c>
    </row>
    <row r="40" spans="2:17" x14ac:dyDescent="0.25">
      <c r="B40" s="24">
        <v>2</v>
      </c>
      <c r="C40" s="22"/>
      <c r="D40" s="22"/>
      <c r="E40" s="22"/>
      <c r="F40" s="22"/>
      <c r="Q40">
        <f>IF(AND($E40="",COUNTA($C40:$D40,$F40)&gt;0),1,0)</f>
      </c>
    </row>
    <row r="41" spans="2:17" x14ac:dyDescent="0.25">
      <c r="B41" s="24">
        <v>3</v>
      </c>
      <c r="C41" s="22"/>
      <c r="D41" s="22"/>
      <c r="E41" s="22"/>
      <c r="F41" s="22"/>
      <c r="Q41">
        <f>IF(AND($E41="",COUNTA($C41:$D41,$F41)&gt;0),1,0)</f>
      </c>
    </row>
    <row r="42" spans="2:17" x14ac:dyDescent="0.25">
      <c r="B42" s="24">
        <v>4</v>
      </c>
      <c r="C42" s="22"/>
      <c r="D42" s="22"/>
      <c r="E42" s="22"/>
      <c r="F42" s="22"/>
      <c r="Q42">
        <f>IF(AND($E42="",COUNTA($C42:$D42,$F42)&gt;0),1,0)</f>
      </c>
    </row>
    <row r="43" spans="2:17" x14ac:dyDescent="0.25">
      <c r="B43" s="24">
        <v>5</v>
      </c>
      <c r="C43" s="22"/>
      <c r="D43" s="22"/>
      <c r="E43" s="22"/>
      <c r="F43" s="22"/>
      <c r="Q43">
        <f>IF(AND($E43="",COUNTA($C43:$D43,$F43)&gt;0),1,0)</f>
      </c>
    </row>
    <row r="44" spans="2:17" x14ac:dyDescent="0.25">
      <c r="B44" s="24">
        <v>6</v>
      </c>
      <c r="C44" s="22"/>
      <c r="D44" s="22"/>
      <c r="E44" s="22"/>
      <c r="F44" s="22"/>
      <c r="Q44">
        <f>IF(AND($E44="",COUNTA($C44:$D44,$F44)&gt;0),1,0)</f>
      </c>
    </row>
    <row r="45" spans="2:17" x14ac:dyDescent="0.25">
      <c r="B45" s="24">
        <v>7</v>
      </c>
      <c r="C45" s="22"/>
      <c r="D45" s="22"/>
      <c r="E45" s="22"/>
      <c r="F45" s="22"/>
      <c r="Q45">
        <f>IF(AND($E45="",COUNTA($C45:$D45,$F45)&gt;0),1,0)</f>
      </c>
    </row>
    <row r="46" spans="2:17" x14ac:dyDescent="0.25">
      <c r="B46" s="24">
        <v>8</v>
      </c>
      <c r="C46" s="22"/>
      <c r="D46" s="22"/>
      <c r="E46" s="22"/>
      <c r="F46" s="22"/>
      <c r="Q46">
        <f>IF(AND($E46="",COUNTA($C46:$D46,$F46)&gt;0),1,0)</f>
      </c>
    </row>
    <row r="48" spans="2:6" x14ac:dyDescent="0.25">
      <c r="B48" s="18" t="s">
        <v>44</v>
      </c>
      <c r="C48" s="19"/>
      <c r="D48" s="19"/>
      <c r="E48" s="5"/>
      <c r="F48" s="5"/>
    </row>
    <row r="49" ht="24" customHeight="1" spans="2:16" x14ac:dyDescent="0.25">
      <c r="B49" s="20" t="s">
        <v>57</v>
      </c>
      <c r="C49" s="21"/>
      <c r="D49" s="21"/>
      <c r="E49" s="21"/>
      <c r="F49" s="21"/>
      <c r="G49" s="4">
        <f>IFERROR(IF(AND($C$49="",$C$50=""),IF(COUNTA($C$48:$F$48,$E$51,$C$53:$F$60)+COUNTA($E$50,$C$51)&gt;0,"⚠ Pick an exercise for this card",""),IF(AND($C$49&lt;&gt;"",$C$50&lt;&gt;""),"⚠ Use the library OR a custom exercise, not both",IF(AND($C$50&lt;&gt;"",$E$50=""),"⚠ Pick a muscle group for the custom exercise",IF(COUNT($E$53:$E$60)=0,"⚠ Enter Goal Reps for at least one set",IF(SUM($Q$53:$Q$60)&gt;0,"⚠ A set is missing Goal Reps",IF(IF($C$51="",1=0,COUNTIF($P$7:$P$214,$C$51)&lt;2),"⚠ Superset "&amp;$C$51&amp;" needs 2+ exercises",IF($C$49&lt;&gt;"",IFERROR("✓ "&amp;INDEX('Exercise Library'!$C$2:$C$319,MATCH($C$49,'Exercise Library'!$B$2:$B$319,0))&amp;IF(INDEX('Exercise Library'!$D$2:$D$319,MATCH($C$49,'Exercise Library'!$B$2:$B$319,0))="Yes"," · demo video","")&amp;" · "&amp;COUNT($E$53:$E$60)&amp;" sets","⚠ Not in the library — use Custom"),"✓ Custom ("&amp;$E$50&amp;") · "&amp;COUNT($E$53:$E$60)&amp;" sets"))))))),"⚠ Check this row")</f>
      </c>
      <c r="P49">
        <f>IF(OR($C$49&lt;&gt;"",$C$50&lt;&gt;""),$C$51,"")</f>
      </c>
    </row>
    <row r="50" spans="2:6" x14ac:dyDescent="0.25">
      <c r="B50" s="18" t="s">
        <v>46</v>
      </c>
      <c r="C50" s="5"/>
      <c r="D50" s="5"/>
      <c r="E50" s="5"/>
      <c r="F50" s="18" t="s">
        <v>47</v>
      </c>
    </row>
    <row r="51" ht="22" customHeight="1" spans="2:6" x14ac:dyDescent="0.25">
      <c r="B51" s="18" t="s">
        <v>48</v>
      </c>
      <c r="C51" s="22"/>
      <c r="D51" s="18" t="s">
        <v>49</v>
      </c>
      <c r="E51" s="5"/>
      <c r="F51" s="5"/>
    </row>
    <row r="52" spans="2:6" x14ac:dyDescent="0.25">
      <c r="B52" s="23" t="s">
        <v>50</v>
      </c>
      <c r="C52" s="23" t="s">
        <v>51</v>
      </c>
      <c r="D52" s="23" t="s">
        <v>52</v>
      </c>
      <c r="E52" s="23" t="s">
        <v>53</v>
      </c>
      <c r="F52" s="23" t="s">
        <v>54</v>
      </c>
    </row>
    <row r="53" spans="2:17" x14ac:dyDescent="0.25">
      <c r="B53" s="24">
        <v>1</v>
      </c>
      <c r="C53" s="22"/>
      <c r="D53" s="22"/>
      <c r="E53" s="22"/>
      <c r="F53" s="22"/>
      <c r="Q53">
        <f>IF(AND($E53="",COUNTA($C53:$D53,$F53)&gt;0),1,0)</f>
      </c>
    </row>
    <row r="54" spans="2:17" x14ac:dyDescent="0.25">
      <c r="B54" s="24">
        <v>2</v>
      </c>
      <c r="C54" s="22"/>
      <c r="D54" s="22"/>
      <c r="E54" s="22"/>
      <c r="F54" s="22"/>
      <c r="Q54">
        <f>IF(AND($E54="",COUNTA($C54:$D54,$F54)&gt;0),1,0)</f>
      </c>
    </row>
    <row r="55" spans="2:17" x14ac:dyDescent="0.25">
      <c r="B55" s="24">
        <v>3</v>
      </c>
      <c r="C55" s="22"/>
      <c r="D55" s="22"/>
      <c r="E55" s="22"/>
      <c r="F55" s="22"/>
      <c r="Q55">
        <f>IF(AND($E55="",COUNTA($C55:$D55,$F55)&gt;0),1,0)</f>
      </c>
    </row>
    <row r="56" spans="2:17" x14ac:dyDescent="0.25">
      <c r="B56" s="24">
        <v>4</v>
      </c>
      <c r="C56" s="22"/>
      <c r="D56" s="22"/>
      <c r="E56" s="22"/>
      <c r="F56" s="22"/>
      <c r="Q56">
        <f>IF(AND($E56="",COUNTA($C56:$D56,$F56)&gt;0),1,0)</f>
      </c>
    </row>
    <row r="57" spans="2:17" x14ac:dyDescent="0.25">
      <c r="B57" s="24">
        <v>5</v>
      </c>
      <c r="C57" s="22"/>
      <c r="D57" s="22"/>
      <c r="E57" s="22"/>
      <c r="F57" s="22"/>
      <c r="Q57">
        <f>IF(AND($E57="",COUNTA($C57:$D57,$F57)&gt;0),1,0)</f>
      </c>
    </row>
    <row r="58" spans="2:17" x14ac:dyDescent="0.25">
      <c r="B58" s="24">
        <v>6</v>
      </c>
      <c r="C58" s="22"/>
      <c r="D58" s="22"/>
      <c r="E58" s="22"/>
      <c r="F58" s="22"/>
      <c r="Q58">
        <f>IF(AND($E58="",COUNTA($C58:$D58,$F58)&gt;0),1,0)</f>
      </c>
    </row>
    <row r="59" spans="2:17" x14ac:dyDescent="0.25">
      <c r="B59" s="24">
        <v>7</v>
      </c>
      <c r="C59" s="22"/>
      <c r="D59" s="22"/>
      <c r="E59" s="22"/>
      <c r="F59" s="22"/>
      <c r="Q59">
        <f>IF(AND($E59="",COUNTA($C59:$D59,$F59)&gt;0),1,0)</f>
      </c>
    </row>
    <row r="60" spans="2:17" x14ac:dyDescent="0.25">
      <c r="B60" s="24">
        <v>8</v>
      </c>
      <c r="C60" s="22"/>
      <c r="D60" s="22"/>
      <c r="E60" s="22"/>
      <c r="F60" s="22"/>
      <c r="Q60">
        <f>IF(AND($E60="",COUNTA($C60:$D60,$F60)&gt;0),1,0)</f>
      </c>
    </row>
    <row r="62" spans="2:6" x14ac:dyDescent="0.25">
      <c r="B62" s="18" t="s">
        <v>44</v>
      </c>
      <c r="C62" s="19"/>
      <c r="D62" s="19"/>
      <c r="E62" s="5"/>
      <c r="F62" s="5"/>
    </row>
    <row r="63" ht="24" customHeight="1" spans="2:16" x14ac:dyDescent="0.25">
      <c r="B63" s="20" t="s">
        <v>58</v>
      </c>
      <c r="C63" s="21"/>
      <c r="D63" s="21"/>
      <c r="E63" s="21"/>
      <c r="F63" s="21"/>
      <c r="G63" s="4">
        <f>IFERROR(IF(AND($C$63="",$C$64=""),IF(COUNTA($C$62:$F$62,$E$65,$C$67:$F$74)+COUNTA($E$64,$C$65)&gt;0,"⚠ Pick an exercise for this card",""),IF(AND($C$63&lt;&gt;"",$C$64&lt;&gt;""),"⚠ Use the library OR a custom exercise, not both",IF(AND($C$64&lt;&gt;"",$E$64=""),"⚠ Pick a muscle group for the custom exercise",IF(COUNT($E$67:$E$74)=0,"⚠ Enter Goal Reps for at least one set",IF(SUM($Q$67:$Q$74)&gt;0,"⚠ A set is missing Goal Reps",IF(IF($C$65="",1=0,COUNTIF($P$7:$P$214,$C$65)&lt;2),"⚠ Superset "&amp;$C$65&amp;" needs 2+ exercises",IF($C$63&lt;&gt;"",IFERROR("✓ "&amp;INDEX('Exercise Library'!$C$2:$C$319,MATCH($C$63,'Exercise Library'!$B$2:$B$319,0))&amp;IF(INDEX('Exercise Library'!$D$2:$D$319,MATCH($C$63,'Exercise Library'!$B$2:$B$319,0))="Yes"," · demo video","")&amp;" · "&amp;COUNT($E$67:$E$74)&amp;" sets","⚠ Not in the library — use Custom"),"✓ Custom ("&amp;$E$64&amp;") · "&amp;COUNT($E$67:$E$74)&amp;" sets"))))))),"⚠ Check this row")</f>
      </c>
      <c r="P63">
        <f>IF(OR($C$63&lt;&gt;"",$C$64&lt;&gt;""),$C$65,"")</f>
      </c>
    </row>
    <row r="64" spans="2:6" x14ac:dyDescent="0.25">
      <c r="B64" s="18" t="s">
        <v>46</v>
      </c>
      <c r="C64" s="5"/>
      <c r="D64" s="5"/>
      <c r="E64" s="5"/>
      <c r="F64" s="18" t="s">
        <v>47</v>
      </c>
    </row>
    <row r="65" ht="22" customHeight="1" spans="2:6" x14ac:dyDescent="0.25">
      <c r="B65" s="18" t="s">
        <v>48</v>
      </c>
      <c r="C65" s="22"/>
      <c r="D65" s="18" t="s">
        <v>49</v>
      </c>
      <c r="E65" s="5"/>
      <c r="F65" s="5"/>
    </row>
    <row r="66" spans="2:6" x14ac:dyDescent="0.25">
      <c r="B66" s="23" t="s">
        <v>50</v>
      </c>
      <c r="C66" s="23" t="s">
        <v>51</v>
      </c>
      <c r="D66" s="23" t="s">
        <v>52</v>
      </c>
      <c r="E66" s="23" t="s">
        <v>53</v>
      </c>
      <c r="F66" s="23" t="s">
        <v>54</v>
      </c>
    </row>
    <row r="67" spans="2:17" x14ac:dyDescent="0.25">
      <c r="B67" s="24">
        <v>1</v>
      </c>
      <c r="C67" s="22"/>
      <c r="D67" s="22"/>
      <c r="E67" s="22"/>
      <c r="F67" s="22"/>
      <c r="Q67">
        <f>IF(AND($E67="",COUNTA($C67:$D67,$F67)&gt;0),1,0)</f>
      </c>
    </row>
    <row r="68" spans="2:17" x14ac:dyDescent="0.25">
      <c r="B68" s="24">
        <v>2</v>
      </c>
      <c r="C68" s="22"/>
      <c r="D68" s="22"/>
      <c r="E68" s="22"/>
      <c r="F68" s="22"/>
      <c r="Q68">
        <f>IF(AND($E68="",COUNTA($C68:$D68,$F68)&gt;0),1,0)</f>
      </c>
    </row>
    <row r="69" spans="2:17" x14ac:dyDescent="0.25">
      <c r="B69" s="24">
        <v>3</v>
      </c>
      <c r="C69" s="22"/>
      <c r="D69" s="22"/>
      <c r="E69" s="22"/>
      <c r="F69" s="22"/>
      <c r="Q69">
        <f>IF(AND($E69="",COUNTA($C69:$D69,$F69)&gt;0),1,0)</f>
      </c>
    </row>
    <row r="70" spans="2:17" x14ac:dyDescent="0.25">
      <c r="B70" s="24">
        <v>4</v>
      </c>
      <c r="C70" s="22"/>
      <c r="D70" s="22"/>
      <c r="E70" s="22"/>
      <c r="F70" s="22"/>
      <c r="Q70">
        <f>IF(AND($E70="",COUNTA($C70:$D70,$F70)&gt;0),1,0)</f>
      </c>
    </row>
    <row r="71" spans="2:17" x14ac:dyDescent="0.25">
      <c r="B71" s="24">
        <v>5</v>
      </c>
      <c r="C71" s="22"/>
      <c r="D71" s="22"/>
      <c r="E71" s="22"/>
      <c r="F71" s="22"/>
      <c r="Q71">
        <f>IF(AND($E71="",COUNTA($C71:$D71,$F71)&gt;0),1,0)</f>
      </c>
    </row>
    <row r="72" spans="2:17" x14ac:dyDescent="0.25">
      <c r="B72" s="24">
        <v>6</v>
      </c>
      <c r="C72" s="22"/>
      <c r="D72" s="22"/>
      <c r="E72" s="22"/>
      <c r="F72" s="22"/>
      <c r="Q72">
        <f>IF(AND($E72="",COUNTA($C72:$D72,$F72)&gt;0),1,0)</f>
      </c>
    </row>
    <row r="73" spans="2:17" x14ac:dyDescent="0.25">
      <c r="B73" s="24">
        <v>7</v>
      </c>
      <c r="C73" s="22"/>
      <c r="D73" s="22"/>
      <c r="E73" s="22"/>
      <c r="F73" s="22"/>
      <c r="Q73">
        <f>IF(AND($E73="",COUNTA($C73:$D73,$F73)&gt;0),1,0)</f>
      </c>
    </row>
    <row r="74" spans="2:17" x14ac:dyDescent="0.25">
      <c r="B74" s="24">
        <v>8</v>
      </c>
      <c r="C74" s="22"/>
      <c r="D74" s="22"/>
      <c r="E74" s="22"/>
      <c r="F74" s="22"/>
      <c r="Q74">
        <f>IF(AND($E74="",COUNTA($C74:$D74,$F74)&gt;0),1,0)</f>
      </c>
    </row>
    <row r="76" spans="2:6" x14ac:dyDescent="0.25">
      <c r="B76" s="18" t="s">
        <v>44</v>
      </c>
      <c r="C76" s="19"/>
      <c r="D76" s="19"/>
      <c r="E76" s="5"/>
      <c r="F76" s="5"/>
    </row>
    <row r="77" ht="24" customHeight="1" spans="2:16" x14ac:dyDescent="0.25">
      <c r="B77" s="20" t="s">
        <v>59</v>
      </c>
      <c r="C77" s="21"/>
      <c r="D77" s="21"/>
      <c r="E77" s="21"/>
      <c r="F77" s="21"/>
      <c r="G77" s="4">
        <f>IFERROR(IF(AND($C$77="",$C$78=""),IF(COUNTA($C$76:$F$76,$E$79,$C$81:$F$88)+COUNTA($E$78,$C$79)&gt;0,"⚠ Pick an exercise for this card",""),IF(AND($C$77&lt;&gt;"",$C$78&lt;&gt;""),"⚠ Use the library OR a custom exercise, not both",IF(AND($C$78&lt;&gt;"",$E$78=""),"⚠ Pick a muscle group for the custom exercise",IF(COUNT($E$81:$E$88)=0,"⚠ Enter Goal Reps for at least one set",IF(SUM($Q$81:$Q$88)&gt;0,"⚠ A set is missing Goal Reps",IF(IF($C$79="",1=0,COUNTIF($P$7:$P$214,$C$79)&lt;2),"⚠ Superset "&amp;$C$79&amp;" needs 2+ exercises",IF($C$77&lt;&gt;"",IFERROR("✓ "&amp;INDEX('Exercise Library'!$C$2:$C$319,MATCH($C$77,'Exercise Library'!$B$2:$B$319,0))&amp;IF(INDEX('Exercise Library'!$D$2:$D$319,MATCH($C$77,'Exercise Library'!$B$2:$B$319,0))="Yes"," · demo video","")&amp;" · "&amp;COUNT($E$81:$E$88)&amp;" sets","⚠ Not in the library — use Custom"),"✓ Custom ("&amp;$E$78&amp;") · "&amp;COUNT($E$81:$E$88)&amp;" sets"))))))),"⚠ Check this row")</f>
      </c>
      <c r="P77">
        <f>IF(OR($C$77&lt;&gt;"",$C$78&lt;&gt;""),$C$79,"")</f>
      </c>
    </row>
    <row r="78" spans="2:6" x14ac:dyDescent="0.25">
      <c r="B78" s="18" t="s">
        <v>46</v>
      </c>
      <c r="C78" s="5"/>
      <c r="D78" s="5"/>
      <c r="E78" s="5"/>
      <c r="F78" s="18" t="s">
        <v>47</v>
      </c>
    </row>
    <row r="79" ht="22" customHeight="1" spans="2:6" x14ac:dyDescent="0.25">
      <c r="B79" s="18" t="s">
        <v>48</v>
      </c>
      <c r="C79" s="22"/>
      <c r="D79" s="18" t="s">
        <v>49</v>
      </c>
      <c r="E79" s="5"/>
      <c r="F79" s="5"/>
    </row>
    <row r="80" spans="2:6" x14ac:dyDescent="0.25">
      <c r="B80" s="23" t="s">
        <v>50</v>
      </c>
      <c r="C80" s="23" t="s">
        <v>51</v>
      </c>
      <c r="D80" s="23" t="s">
        <v>52</v>
      </c>
      <c r="E80" s="23" t="s">
        <v>53</v>
      </c>
      <c r="F80" s="23" t="s">
        <v>54</v>
      </c>
    </row>
    <row r="81" spans="2:17" x14ac:dyDescent="0.25">
      <c r="B81" s="24">
        <v>1</v>
      </c>
      <c r="C81" s="22"/>
      <c r="D81" s="22"/>
      <c r="E81" s="22"/>
      <c r="F81" s="22"/>
      <c r="Q81">
        <f>IF(AND($E81="",COUNTA($C81:$D81,$F81)&gt;0),1,0)</f>
      </c>
    </row>
    <row r="82" spans="2:17" x14ac:dyDescent="0.25">
      <c r="B82" s="24">
        <v>2</v>
      </c>
      <c r="C82" s="22"/>
      <c r="D82" s="22"/>
      <c r="E82" s="22"/>
      <c r="F82" s="22"/>
      <c r="Q82">
        <f>IF(AND($E82="",COUNTA($C82:$D82,$F82)&gt;0),1,0)</f>
      </c>
    </row>
    <row r="83" spans="2:17" x14ac:dyDescent="0.25">
      <c r="B83" s="24">
        <v>3</v>
      </c>
      <c r="C83" s="22"/>
      <c r="D83" s="22"/>
      <c r="E83" s="22"/>
      <c r="F83" s="22"/>
      <c r="Q83">
        <f>IF(AND($E83="",COUNTA($C83:$D83,$F83)&gt;0),1,0)</f>
      </c>
    </row>
    <row r="84" spans="2:17" x14ac:dyDescent="0.25">
      <c r="B84" s="24">
        <v>4</v>
      </c>
      <c r="C84" s="22"/>
      <c r="D84" s="22"/>
      <c r="E84" s="22"/>
      <c r="F84" s="22"/>
      <c r="Q84">
        <f>IF(AND($E84="",COUNTA($C84:$D84,$F84)&gt;0),1,0)</f>
      </c>
    </row>
    <row r="85" spans="2:17" x14ac:dyDescent="0.25">
      <c r="B85" s="24">
        <v>5</v>
      </c>
      <c r="C85" s="22"/>
      <c r="D85" s="22"/>
      <c r="E85" s="22"/>
      <c r="F85" s="22"/>
      <c r="Q85">
        <f>IF(AND($E85="",COUNTA($C85:$D85,$F85)&gt;0),1,0)</f>
      </c>
    </row>
    <row r="86" spans="2:17" x14ac:dyDescent="0.25">
      <c r="B86" s="24">
        <v>6</v>
      </c>
      <c r="C86" s="22"/>
      <c r="D86" s="22"/>
      <c r="E86" s="22"/>
      <c r="F86" s="22"/>
      <c r="Q86">
        <f>IF(AND($E86="",COUNTA($C86:$D86,$F86)&gt;0),1,0)</f>
      </c>
    </row>
    <row r="87" spans="2:17" x14ac:dyDescent="0.25">
      <c r="B87" s="24">
        <v>7</v>
      </c>
      <c r="C87" s="22"/>
      <c r="D87" s="22"/>
      <c r="E87" s="22"/>
      <c r="F87" s="22"/>
      <c r="Q87">
        <f>IF(AND($E87="",COUNTA($C87:$D87,$F87)&gt;0),1,0)</f>
      </c>
    </row>
    <row r="88" spans="2:17" x14ac:dyDescent="0.25">
      <c r="B88" s="24">
        <v>8</v>
      </c>
      <c r="C88" s="22"/>
      <c r="D88" s="22"/>
      <c r="E88" s="22"/>
      <c r="F88" s="22"/>
      <c r="Q88">
        <f>IF(AND($E88="",COUNTA($C88:$D88,$F88)&gt;0),1,0)</f>
      </c>
    </row>
    <row r="90" spans="2:6" x14ac:dyDescent="0.25">
      <c r="B90" s="18" t="s">
        <v>44</v>
      </c>
      <c r="C90" s="19"/>
      <c r="D90" s="19"/>
      <c r="E90" s="5"/>
      <c r="F90" s="5"/>
    </row>
    <row r="91" ht="24" customHeight="1" spans="2:16" x14ac:dyDescent="0.25">
      <c r="B91" s="20" t="s">
        <v>60</v>
      </c>
      <c r="C91" s="21"/>
      <c r="D91" s="21"/>
      <c r="E91" s="21"/>
      <c r="F91" s="21"/>
      <c r="G91" s="4">
        <f>IFERROR(IF(AND($C$91="",$C$92=""),IF(COUNTA($C$90:$F$90,$E$93,$C$95:$F$102)+COUNTA($E$92,$C$93)&gt;0,"⚠ Pick an exercise for this card",""),IF(AND($C$91&lt;&gt;"",$C$92&lt;&gt;""),"⚠ Use the library OR a custom exercise, not both",IF(AND($C$92&lt;&gt;"",$E$92=""),"⚠ Pick a muscle group for the custom exercise",IF(COUNT($E$95:$E$102)=0,"⚠ Enter Goal Reps for at least one set",IF(SUM($Q$95:$Q$102)&gt;0,"⚠ A set is missing Goal Reps",IF(IF($C$93="",1=0,COUNTIF($P$7:$P$214,$C$93)&lt;2),"⚠ Superset "&amp;$C$93&amp;" needs 2+ exercises",IF($C$91&lt;&gt;"",IFERROR("✓ "&amp;INDEX('Exercise Library'!$C$2:$C$319,MATCH($C$91,'Exercise Library'!$B$2:$B$319,0))&amp;IF(INDEX('Exercise Library'!$D$2:$D$319,MATCH($C$91,'Exercise Library'!$B$2:$B$319,0))="Yes"," · demo video","")&amp;" · "&amp;COUNT($E$95:$E$102)&amp;" sets","⚠ Not in the library — use Custom"),"✓ Custom ("&amp;$E$92&amp;") · "&amp;COUNT($E$95:$E$102)&amp;" sets"))))))),"⚠ Check this row")</f>
      </c>
      <c r="P91">
        <f>IF(OR($C$91&lt;&gt;"",$C$92&lt;&gt;""),$C$93,"")</f>
      </c>
    </row>
    <row r="92" spans="2:6" x14ac:dyDescent="0.25">
      <c r="B92" s="18" t="s">
        <v>46</v>
      </c>
      <c r="C92" s="5"/>
      <c r="D92" s="5"/>
      <c r="E92" s="5"/>
      <c r="F92" s="18" t="s">
        <v>47</v>
      </c>
    </row>
    <row r="93" ht="22" customHeight="1" spans="2:6" x14ac:dyDescent="0.25">
      <c r="B93" s="18" t="s">
        <v>48</v>
      </c>
      <c r="C93" s="22"/>
      <c r="D93" s="18" t="s">
        <v>49</v>
      </c>
      <c r="E93" s="5"/>
      <c r="F93" s="5"/>
    </row>
    <row r="94" spans="2:6" x14ac:dyDescent="0.25">
      <c r="B94" s="23" t="s">
        <v>50</v>
      </c>
      <c r="C94" s="23" t="s">
        <v>51</v>
      </c>
      <c r="D94" s="23" t="s">
        <v>52</v>
      </c>
      <c r="E94" s="23" t="s">
        <v>53</v>
      </c>
      <c r="F94" s="23" t="s">
        <v>54</v>
      </c>
    </row>
    <row r="95" spans="2:17" x14ac:dyDescent="0.25">
      <c r="B95" s="24">
        <v>1</v>
      </c>
      <c r="C95" s="22"/>
      <c r="D95" s="22"/>
      <c r="E95" s="22"/>
      <c r="F95" s="22"/>
      <c r="Q95">
        <f>IF(AND($E95="",COUNTA($C95:$D95,$F95)&gt;0),1,0)</f>
      </c>
    </row>
    <row r="96" spans="2:17" x14ac:dyDescent="0.25">
      <c r="B96" s="24">
        <v>2</v>
      </c>
      <c r="C96" s="22"/>
      <c r="D96" s="22"/>
      <c r="E96" s="22"/>
      <c r="F96" s="22"/>
      <c r="Q96">
        <f>IF(AND($E96="",COUNTA($C96:$D96,$F96)&gt;0),1,0)</f>
      </c>
    </row>
    <row r="97" spans="2:17" x14ac:dyDescent="0.25">
      <c r="B97" s="24">
        <v>3</v>
      </c>
      <c r="C97" s="22"/>
      <c r="D97" s="22"/>
      <c r="E97" s="22"/>
      <c r="F97" s="22"/>
      <c r="Q97">
        <f>IF(AND($E97="",COUNTA($C97:$D97,$F97)&gt;0),1,0)</f>
      </c>
    </row>
    <row r="98" spans="2:17" x14ac:dyDescent="0.25">
      <c r="B98" s="24">
        <v>4</v>
      </c>
      <c r="C98" s="22"/>
      <c r="D98" s="22"/>
      <c r="E98" s="22"/>
      <c r="F98" s="22"/>
      <c r="Q98">
        <f>IF(AND($E98="",COUNTA($C98:$D98,$F98)&gt;0),1,0)</f>
      </c>
    </row>
    <row r="99" spans="2:17" x14ac:dyDescent="0.25">
      <c r="B99" s="24">
        <v>5</v>
      </c>
      <c r="C99" s="22"/>
      <c r="D99" s="22"/>
      <c r="E99" s="22"/>
      <c r="F99" s="22"/>
      <c r="Q99">
        <f>IF(AND($E99="",COUNTA($C99:$D99,$F99)&gt;0),1,0)</f>
      </c>
    </row>
    <row r="100" spans="2:17" x14ac:dyDescent="0.25">
      <c r="B100" s="24">
        <v>6</v>
      </c>
      <c r="C100" s="22"/>
      <c r="D100" s="22"/>
      <c r="E100" s="22"/>
      <c r="F100" s="22"/>
      <c r="Q100">
        <f>IF(AND($E100="",COUNTA($C100:$D100,$F100)&gt;0),1,0)</f>
      </c>
    </row>
    <row r="101" spans="2:17" x14ac:dyDescent="0.25">
      <c r="B101" s="24">
        <v>7</v>
      </c>
      <c r="C101" s="22"/>
      <c r="D101" s="22"/>
      <c r="E101" s="22"/>
      <c r="F101" s="22"/>
      <c r="Q101">
        <f>IF(AND($E101="",COUNTA($C101:$D101,$F101)&gt;0),1,0)</f>
      </c>
    </row>
    <row r="102" spans="2:17" x14ac:dyDescent="0.25">
      <c r="B102" s="24">
        <v>8</v>
      </c>
      <c r="C102" s="22"/>
      <c r="D102" s="22"/>
      <c r="E102" s="22"/>
      <c r="F102" s="22"/>
      <c r="Q102">
        <f>IF(AND($E102="",COUNTA($C102:$D102,$F102)&gt;0),1,0)</f>
      </c>
    </row>
    <row r="104" spans="2:6" x14ac:dyDescent="0.25">
      <c r="B104" s="18" t="s">
        <v>44</v>
      </c>
      <c r="C104" s="19"/>
      <c r="D104" s="19"/>
      <c r="E104" s="5"/>
      <c r="F104" s="5"/>
    </row>
    <row r="105" ht="24" customHeight="1" spans="2:16" x14ac:dyDescent="0.25">
      <c r="B105" s="20" t="s">
        <v>61</v>
      </c>
      <c r="C105" s="21"/>
      <c r="D105" s="21"/>
      <c r="E105" s="21"/>
      <c r="F105" s="21"/>
      <c r="G105" s="4">
        <f>IFERROR(IF(AND($C$105="",$C$106=""),IF(COUNTA($C$104:$F$104,$E$107,$C$109:$F$116)+COUNTA($E$106,$C$107)&gt;0,"⚠ Pick an exercise for this card",""),IF(AND($C$105&lt;&gt;"",$C$106&lt;&gt;""),"⚠ Use the library OR a custom exercise, not both",IF(AND($C$106&lt;&gt;"",$E$106=""),"⚠ Pick a muscle group for the custom exercise",IF(COUNT($E$109:$E$116)=0,"⚠ Enter Goal Reps for at least one set",IF(SUM($Q$109:$Q$116)&gt;0,"⚠ A set is missing Goal Reps",IF(IF($C$107="",1=0,COUNTIF($P$7:$P$214,$C$107)&lt;2),"⚠ Superset "&amp;$C$107&amp;" needs 2+ exercises",IF($C$105&lt;&gt;"",IFERROR("✓ "&amp;INDEX('Exercise Library'!$C$2:$C$319,MATCH($C$105,'Exercise Library'!$B$2:$B$319,0))&amp;IF(INDEX('Exercise Library'!$D$2:$D$319,MATCH($C$105,'Exercise Library'!$B$2:$B$319,0))="Yes"," · demo video","")&amp;" · "&amp;COUNT($E$109:$E$116)&amp;" sets","⚠ Not in the library — use Custom"),"✓ Custom ("&amp;$E$106&amp;") · "&amp;COUNT($E$109:$E$116)&amp;" sets"))))))),"⚠ Check this row")</f>
      </c>
      <c r="P105">
        <f>IF(OR($C$105&lt;&gt;"",$C$106&lt;&gt;""),$C$107,"")</f>
      </c>
    </row>
    <row r="106" spans="2:6" x14ac:dyDescent="0.25">
      <c r="B106" s="18" t="s">
        <v>46</v>
      </c>
      <c r="C106" s="5"/>
      <c r="D106" s="5"/>
      <c r="E106" s="5"/>
      <c r="F106" s="18" t="s">
        <v>47</v>
      </c>
    </row>
    <row r="107" ht="22" customHeight="1" spans="2:6" x14ac:dyDescent="0.25">
      <c r="B107" s="18" t="s">
        <v>48</v>
      </c>
      <c r="C107" s="22"/>
      <c r="D107" s="18" t="s">
        <v>49</v>
      </c>
      <c r="E107" s="5"/>
      <c r="F107" s="5"/>
    </row>
    <row r="108" spans="2:6" x14ac:dyDescent="0.25">
      <c r="B108" s="23" t="s">
        <v>50</v>
      </c>
      <c r="C108" s="23" t="s">
        <v>51</v>
      </c>
      <c r="D108" s="23" t="s">
        <v>52</v>
      </c>
      <c r="E108" s="23" t="s">
        <v>53</v>
      </c>
      <c r="F108" s="23" t="s">
        <v>54</v>
      </c>
    </row>
    <row r="109" spans="2:17" x14ac:dyDescent="0.25">
      <c r="B109" s="24">
        <v>1</v>
      </c>
      <c r="C109" s="22"/>
      <c r="D109" s="22"/>
      <c r="E109" s="22"/>
      <c r="F109" s="22"/>
      <c r="Q109">
        <f>IF(AND($E109="",COUNTA($C109:$D109,$F109)&gt;0),1,0)</f>
      </c>
    </row>
    <row r="110" spans="2:17" x14ac:dyDescent="0.25">
      <c r="B110" s="24">
        <v>2</v>
      </c>
      <c r="C110" s="22"/>
      <c r="D110" s="22"/>
      <c r="E110" s="22"/>
      <c r="F110" s="22"/>
      <c r="Q110">
        <f>IF(AND($E110="",COUNTA($C110:$D110,$F110)&gt;0),1,0)</f>
      </c>
    </row>
    <row r="111" spans="2:17" x14ac:dyDescent="0.25">
      <c r="B111" s="24">
        <v>3</v>
      </c>
      <c r="C111" s="22"/>
      <c r="D111" s="22"/>
      <c r="E111" s="22"/>
      <c r="F111" s="22"/>
      <c r="Q111">
        <f>IF(AND($E111="",COUNTA($C111:$D111,$F111)&gt;0),1,0)</f>
      </c>
    </row>
    <row r="112" spans="2:17" x14ac:dyDescent="0.25">
      <c r="B112" s="24">
        <v>4</v>
      </c>
      <c r="C112" s="22"/>
      <c r="D112" s="22"/>
      <c r="E112" s="22"/>
      <c r="F112" s="22"/>
      <c r="Q112">
        <f>IF(AND($E112="",COUNTA($C112:$D112,$F112)&gt;0),1,0)</f>
      </c>
    </row>
    <row r="113" spans="2:17" x14ac:dyDescent="0.25">
      <c r="B113" s="24">
        <v>5</v>
      </c>
      <c r="C113" s="22"/>
      <c r="D113" s="22"/>
      <c r="E113" s="22"/>
      <c r="F113" s="22"/>
      <c r="Q113">
        <f>IF(AND($E113="",COUNTA($C113:$D113,$F113)&gt;0),1,0)</f>
      </c>
    </row>
    <row r="114" spans="2:17" x14ac:dyDescent="0.25">
      <c r="B114" s="24">
        <v>6</v>
      </c>
      <c r="C114" s="22"/>
      <c r="D114" s="22"/>
      <c r="E114" s="22"/>
      <c r="F114" s="22"/>
      <c r="Q114">
        <f>IF(AND($E114="",COUNTA($C114:$D114,$F114)&gt;0),1,0)</f>
      </c>
    </row>
    <row r="115" spans="2:17" x14ac:dyDescent="0.25">
      <c r="B115" s="24">
        <v>7</v>
      </c>
      <c r="C115" s="22"/>
      <c r="D115" s="22"/>
      <c r="E115" s="22"/>
      <c r="F115" s="22"/>
      <c r="Q115">
        <f>IF(AND($E115="",COUNTA($C115:$D115,$F115)&gt;0),1,0)</f>
      </c>
    </row>
    <row r="116" spans="2:17" x14ac:dyDescent="0.25">
      <c r="B116" s="24">
        <v>8</v>
      </c>
      <c r="C116" s="22"/>
      <c r="D116" s="22"/>
      <c r="E116" s="22"/>
      <c r="F116" s="22"/>
      <c r="Q116">
        <f>IF(AND($E116="",COUNTA($C116:$D116,$F116)&gt;0),1,0)</f>
      </c>
    </row>
    <row r="118" spans="2:6" x14ac:dyDescent="0.25">
      <c r="B118" s="18" t="s">
        <v>44</v>
      </c>
      <c r="C118" s="19"/>
      <c r="D118" s="19"/>
      <c r="E118" s="5"/>
      <c r="F118" s="5"/>
    </row>
    <row r="119" ht="24" customHeight="1" spans="2:16" x14ac:dyDescent="0.25">
      <c r="B119" s="20" t="s">
        <v>62</v>
      </c>
      <c r="C119" s="21"/>
      <c r="D119" s="21"/>
      <c r="E119" s="21"/>
      <c r="F119" s="21"/>
      <c r="G119" s="4">
        <f>IFERROR(IF(AND($C$119="",$C$120=""),IF(COUNTA($C$118:$F$118,$E$121,$C$123:$F$130)+COUNTA($E$120,$C$121)&gt;0,"⚠ Pick an exercise for this card",""),IF(AND($C$119&lt;&gt;"",$C$120&lt;&gt;""),"⚠ Use the library OR a custom exercise, not both",IF(AND($C$120&lt;&gt;"",$E$120=""),"⚠ Pick a muscle group for the custom exercise",IF(COUNT($E$123:$E$130)=0,"⚠ Enter Goal Reps for at least one set",IF(SUM($Q$123:$Q$130)&gt;0,"⚠ A set is missing Goal Reps",IF(IF($C$121="",1=0,COUNTIF($P$7:$P$214,$C$121)&lt;2),"⚠ Superset "&amp;$C$121&amp;" needs 2+ exercises",IF($C$119&lt;&gt;"",IFERROR("✓ "&amp;INDEX('Exercise Library'!$C$2:$C$319,MATCH($C$119,'Exercise Library'!$B$2:$B$319,0))&amp;IF(INDEX('Exercise Library'!$D$2:$D$319,MATCH($C$119,'Exercise Library'!$B$2:$B$319,0))="Yes"," · demo video","")&amp;" · "&amp;COUNT($E$123:$E$130)&amp;" sets","⚠ Not in the library — use Custom"),"✓ Custom ("&amp;$E$120&amp;") · "&amp;COUNT($E$123:$E$130)&amp;" sets"))))))),"⚠ Check this row")</f>
      </c>
      <c r="P119">
        <f>IF(OR($C$119&lt;&gt;"",$C$120&lt;&gt;""),$C$121,"")</f>
      </c>
    </row>
    <row r="120" spans="2:6" x14ac:dyDescent="0.25">
      <c r="B120" s="18" t="s">
        <v>46</v>
      </c>
      <c r="C120" s="5"/>
      <c r="D120" s="5"/>
      <c r="E120" s="5"/>
      <c r="F120" s="18" t="s">
        <v>47</v>
      </c>
    </row>
    <row r="121" ht="22" customHeight="1" spans="2:6" x14ac:dyDescent="0.25">
      <c r="B121" s="18" t="s">
        <v>48</v>
      </c>
      <c r="C121" s="22"/>
      <c r="D121" s="18" t="s">
        <v>49</v>
      </c>
      <c r="E121" s="5"/>
      <c r="F121" s="5"/>
    </row>
    <row r="122" spans="2:6" x14ac:dyDescent="0.25">
      <c r="B122" s="23" t="s">
        <v>50</v>
      </c>
      <c r="C122" s="23" t="s">
        <v>51</v>
      </c>
      <c r="D122" s="23" t="s">
        <v>52</v>
      </c>
      <c r="E122" s="23" t="s">
        <v>53</v>
      </c>
      <c r="F122" s="23" t="s">
        <v>54</v>
      </c>
    </row>
    <row r="123" spans="2:17" x14ac:dyDescent="0.25">
      <c r="B123" s="24">
        <v>1</v>
      </c>
      <c r="C123" s="22"/>
      <c r="D123" s="22"/>
      <c r="E123" s="22"/>
      <c r="F123" s="22"/>
      <c r="Q123">
        <f>IF(AND($E123="",COUNTA($C123:$D123,$F123)&gt;0),1,0)</f>
      </c>
    </row>
    <row r="124" spans="2:17" x14ac:dyDescent="0.25">
      <c r="B124" s="24">
        <v>2</v>
      </c>
      <c r="C124" s="22"/>
      <c r="D124" s="22"/>
      <c r="E124" s="22"/>
      <c r="F124" s="22"/>
      <c r="Q124">
        <f>IF(AND($E124="",COUNTA($C124:$D124,$F124)&gt;0),1,0)</f>
      </c>
    </row>
    <row r="125" spans="2:17" x14ac:dyDescent="0.25">
      <c r="B125" s="24">
        <v>3</v>
      </c>
      <c r="C125" s="22"/>
      <c r="D125" s="22"/>
      <c r="E125" s="22"/>
      <c r="F125" s="22"/>
      <c r="Q125">
        <f>IF(AND($E125="",COUNTA($C125:$D125,$F125)&gt;0),1,0)</f>
      </c>
    </row>
    <row r="126" spans="2:17" x14ac:dyDescent="0.25">
      <c r="B126" s="24">
        <v>4</v>
      </c>
      <c r="C126" s="22"/>
      <c r="D126" s="22"/>
      <c r="E126" s="22"/>
      <c r="F126" s="22"/>
      <c r="Q126">
        <f>IF(AND($E126="",COUNTA($C126:$D126,$F126)&gt;0),1,0)</f>
      </c>
    </row>
    <row r="127" spans="2:17" x14ac:dyDescent="0.25">
      <c r="B127" s="24">
        <v>5</v>
      </c>
      <c r="C127" s="22"/>
      <c r="D127" s="22"/>
      <c r="E127" s="22"/>
      <c r="F127" s="22"/>
      <c r="Q127">
        <f>IF(AND($E127="",COUNTA($C127:$D127,$F127)&gt;0),1,0)</f>
      </c>
    </row>
    <row r="128" spans="2:17" x14ac:dyDescent="0.25">
      <c r="B128" s="24">
        <v>6</v>
      </c>
      <c r="C128" s="22"/>
      <c r="D128" s="22"/>
      <c r="E128" s="22"/>
      <c r="F128" s="22"/>
      <c r="Q128">
        <f>IF(AND($E128="",COUNTA($C128:$D128,$F128)&gt;0),1,0)</f>
      </c>
    </row>
    <row r="129" spans="2:17" x14ac:dyDescent="0.25">
      <c r="B129" s="24">
        <v>7</v>
      </c>
      <c r="C129" s="22"/>
      <c r="D129" s="22"/>
      <c r="E129" s="22"/>
      <c r="F129" s="22"/>
      <c r="Q129">
        <f>IF(AND($E129="",COUNTA($C129:$D129,$F129)&gt;0),1,0)</f>
      </c>
    </row>
    <row r="130" spans="2:17" x14ac:dyDescent="0.25">
      <c r="B130" s="24">
        <v>8</v>
      </c>
      <c r="C130" s="22"/>
      <c r="D130" s="22"/>
      <c r="E130" s="22"/>
      <c r="F130" s="22"/>
      <c r="Q130">
        <f>IF(AND($E130="",COUNTA($C130:$D130,$F130)&gt;0),1,0)</f>
      </c>
    </row>
    <row r="132" spans="2:6" x14ac:dyDescent="0.25">
      <c r="B132" s="18" t="s">
        <v>44</v>
      </c>
      <c r="C132" s="19"/>
      <c r="D132" s="19"/>
      <c r="E132" s="5"/>
      <c r="F132" s="5"/>
    </row>
    <row r="133" ht="24" customHeight="1" spans="2:16" x14ac:dyDescent="0.25">
      <c r="B133" s="20" t="s">
        <v>63</v>
      </c>
      <c r="C133" s="21"/>
      <c r="D133" s="21"/>
      <c r="E133" s="21"/>
      <c r="F133" s="21"/>
      <c r="G133" s="4">
        <f>IFERROR(IF(AND($C$133="",$C$134=""),IF(COUNTA($C$132:$F$132,$E$135,$C$137:$F$144)+COUNTA($E$134,$C$135)&gt;0,"⚠ Pick an exercise for this card",""),IF(AND($C$133&lt;&gt;"",$C$134&lt;&gt;""),"⚠ Use the library OR a custom exercise, not both",IF(AND($C$134&lt;&gt;"",$E$134=""),"⚠ Pick a muscle group for the custom exercise",IF(COUNT($E$137:$E$144)=0,"⚠ Enter Goal Reps for at least one set",IF(SUM($Q$137:$Q$144)&gt;0,"⚠ A set is missing Goal Reps",IF(IF($C$135="",1=0,COUNTIF($P$7:$P$214,$C$135)&lt;2),"⚠ Superset "&amp;$C$135&amp;" needs 2+ exercises",IF($C$133&lt;&gt;"",IFERROR("✓ "&amp;INDEX('Exercise Library'!$C$2:$C$319,MATCH($C$133,'Exercise Library'!$B$2:$B$319,0))&amp;IF(INDEX('Exercise Library'!$D$2:$D$319,MATCH($C$133,'Exercise Library'!$B$2:$B$319,0))="Yes"," · demo video","")&amp;" · "&amp;COUNT($E$137:$E$144)&amp;" sets","⚠ Not in the library — use Custom"),"✓ Custom ("&amp;$E$134&amp;") · "&amp;COUNT($E$137:$E$144)&amp;" sets"))))))),"⚠ Check this row")</f>
      </c>
      <c r="P133">
        <f>IF(OR($C$133&lt;&gt;"",$C$134&lt;&gt;""),$C$135,"")</f>
      </c>
    </row>
    <row r="134" spans="2:6" x14ac:dyDescent="0.25">
      <c r="B134" s="18" t="s">
        <v>46</v>
      </c>
      <c r="C134" s="5"/>
      <c r="D134" s="5"/>
      <c r="E134" s="5"/>
      <c r="F134" s="18" t="s">
        <v>47</v>
      </c>
    </row>
    <row r="135" ht="22" customHeight="1" spans="2:6" x14ac:dyDescent="0.25">
      <c r="B135" s="18" t="s">
        <v>48</v>
      </c>
      <c r="C135" s="22"/>
      <c r="D135" s="18" t="s">
        <v>49</v>
      </c>
      <c r="E135" s="5"/>
      <c r="F135" s="5"/>
    </row>
    <row r="136" spans="2:6" x14ac:dyDescent="0.25">
      <c r="B136" s="23" t="s">
        <v>50</v>
      </c>
      <c r="C136" s="23" t="s">
        <v>51</v>
      </c>
      <c r="D136" s="23" t="s">
        <v>52</v>
      </c>
      <c r="E136" s="23" t="s">
        <v>53</v>
      </c>
      <c r="F136" s="23" t="s">
        <v>54</v>
      </c>
    </row>
    <row r="137" spans="2:17" x14ac:dyDescent="0.25">
      <c r="B137" s="24">
        <v>1</v>
      </c>
      <c r="C137" s="22"/>
      <c r="D137" s="22"/>
      <c r="E137" s="22"/>
      <c r="F137" s="22"/>
      <c r="Q137">
        <f>IF(AND($E137="",COUNTA($C137:$D137,$F137)&gt;0),1,0)</f>
      </c>
    </row>
    <row r="138" spans="2:17" x14ac:dyDescent="0.25">
      <c r="B138" s="24">
        <v>2</v>
      </c>
      <c r="C138" s="22"/>
      <c r="D138" s="22"/>
      <c r="E138" s="22"/>
      <c r="F138" s="22"/>
      <c r="Q138">
        <f>IF(AND($E138="",COUNTA($C138:$D138,$F138)&gt;0),1,0)</f>
      </c>
    </row>
    <row r="139" spans="2:17" x14ac:dyDescent="0.25">
      <c r="B139" s="24">
        <v>3</v>
      </c>
      <c r="C139" s="22"/>
      <c r="D139" s="22"/>
      <c r="E139" s="22"/>
      <c r="F139" s="22"/>
      <c r="Q139">
        <f>IF(AND($E139="",COUNTA($C139:$D139,$F139)&gt;0),1,0)</f>
      </c>
    </row>
    <row r="140" spans="2:17" x14ac:dyDescent="0.25">
      <c r="B140" s="24">
        <v>4</v>
      </c>
      <c r="C140" s="22"/>
      <c r="D140" s="22"/>
      <c r="E140" s="22"/>
      <c r="F140" s="22"/>
      <c r="Q140">
        <f>IF(AND($E140="",COUNTA($C140:$D140,$F140)&gt;0),1,0)</f>
      </c>
    </row>
    <row r="141" spans="2:17" x14ac:dyDescent="0.25">
      <c r="B141" s="24">
        <v>5</v>
      </c>
      <c r="C141" s="22"/>
      <c r="D141" s="22"/>
      <c r="E141" s="22"/>
      <c r="F141" s="22"/>
      <c r="Q141">
        <f>IF(AND($E141="",COUNTA($C141:$D141,$F141)&gt;0),1,0)</f>
      </c>
    </row>
    <row r="142" spans="2:17" x14ac:dyDescent="0.25">
      <c r="B142" s="24">
        <v>6</v>
      </c>
      <c r="C142" s="22"/>
      <c r="D142" s="22"/>
      <c r="E142" s="22"/>
      <c r="F142" s="22"/>
      <c r="Q142">
        <f>IF(AND($E142="",COUNTA($C142:$D142,$F142)&gt;0),1,0)</f>
      </c>
    </row>
    <row r="143" spans="2:17" x14ac:dyDescent="0.25">
      <c r="B143" s="24">
        <v>7</v>
      </c>
      <c r="C143" s="22"/>
      <c r="D143" s="22"/>
      <c r="E143" s="22"/>
      <c r="F143" s="22"/>
      <c r="Q143">
        <f>IF(AND($E143="",COUNTA($C143:$D143,$F143)&gt;0),1,0)</f>
      </c>
    </row>
    <row r="144" spans="2:17" x14ac:dyDescent="0.25">
      <c r="B144" s="24">
        <v>8</v>
      </c>
      <c r="C144" s="22"/>
      <c r="D144" s="22"/>
      <c r="E144" s="22"/>
      <c r="F144" s="22"/>
      <c r="Q144">
        <f>IF(AND($E144="",COUNTA($C144:$D144,$F144)&gt;0),1,0)</f>
      </c>
    </row>
    <row r="146" spans="2:6" x14ac:dyDescent="0.25">
      <c r="B146" s="18" t="s">
        <v>44</v>
      </c>
      <c r="C146" s="19"/>
      <c r="D146" s="19"/>
      <c r="E146" s="5"/>
      <c r="F146" s="5"/>
    </row>
    <row r="147" ht="24" customHeight="1" spans="2:16" x14ac:dyDescent="0.25">
      <c r="B147" s="20" t="s">
        <v>64</v>
      </c>
      <c r="C147" s="21"/>
      <c r="D147" s="21"/>
      <c r="E147" s="21"/>
      <c r="F147" s="21"/>
      <c r="G147" s="4">
        <f>IFERROR(IF(AND($C$147="",$C$148=""),IF(COUNTA($C$146:$F$146,$E$149,$C$151:$F$158)+COUNTA($E$148,$C$149)&gt;0,"⚠ Pick an exercise for this card",""),IF(AND($C$147&lt;&gt;"",$C$148&lt;&gt;""),"⚠ Use the library OR a custom exercise, not both",IF(AND($C$148&lt;&gt;"",$E$148=""),"⚠ Pick a muscle group for the custom exercise",IF(COUNT($E$151:$E$158)=0,"⚠ Enter Goal Reps for at least one set",IF(SUM($Q$151:$Q$158)&gt;0,"⚠ A set is missing Goal Reps",IF(IF($C$149="",1=0,COUNTIF($P$7:$P$214,$C$149)&lt;2),"⚠ Superset "&amp;$C$149&amp;" needs 2+ exercises",IF($C$147&lt;&gt;"",IFERROR("✓ "&amp;INDEX('Exercise Library'!$C$2:$C$319,MATCH($C$147,'Exercise Library'!$B$2:$B$319,0))&amp;IF(INDEX('Exercise Library'!$D$2:$D$319,MATCH($C$147,'Exercise Library'!$B$2:$B$319,0))="Yes"," · demo video","")&amp;" · "&amp;COUNT($E$151:$E$158)&amp;" sets","⚠ Not in the library — use Custom"),"✓ Custom ("&amp;$E$148&amp;") · "&amp;COUNT($E$151:$E$158)&amp;" sets"))))))),"⚠ Check this row")</f>
      </c>
      <c r="P147">
        <f>IF(OR($C$147&lt;&gt;"",$C$148&lt;&gt;""),$C$149,"")</f>
      </c>
    </row>
    <row r="148" spans="2:6" x14ac:dyDescent="0.25">
      <c r="B148" s="18" t="s">
        <v>46</v>
      </c>
      <c r="C148" s="5"/>
      <c r="D148" s="5"/>
      <c r="E148" s="5"/>
      <c r="F148" s="18" t="s">
        <v>47</v>
      </c>
    </row>
    <row r="149" ht="22" customHeight="1" spans="2:6" x14ac:dyDescent="0.25">
      <c r="B149" s="18" t="s">
        <v>48</v>
      </c>
      <c r="C149" s="22"/>
      <c r="D149" s="18" t="s">
        <v>49</v>
      </c>
      <c r="E149" s="5"/>
      <c r="F149" s="5"/>
    </row>
    <row r="150" spans="2:6" x14ac:dyDescent="0.25">
      <c r="B150" s="23" t="s">
        <v>50</v>
      </c>
      <c r="C150" s="23" t="s">
        <v>51</v>
      </c>
      <c r="D150" s="23" t="s">
        <v>52</v>
      </c>
      <c r="E150" s="23" t="s">
        <v>53</v>
      </c>
      <c r="F150" s="23" t="s">
        <v>54</v>
      </c>
    </row>
    <row r="151" spans="2:17" x14ac:dyDescent="0.25">
      <c r="B151" s="24">
        <v>1</v>
      </c>
      <c r="C151" s="22"/>
      <c r="D151" s="22"/>
      <c r="E151" s="22"/>
      <c r="F151" s="22"/>
      <c r="Q151">
        <f>IF(AND($E151="",COUNTA($C151:$D151,$F151)&gt;0),1,0)</f>
      </c>
    </row>
    <row r="152" spans="2:17" x14ac:dyDescent="0.25">
      <c r="B152" s="24">
        <v>2</v>
      </c>
      <c r="C152" s="22"/>
      <c r="D152" s="22"/>
      <c r="E152" s="22"/>
      <c r="F152" s="22"/>
      <c r="Q152">
        <f>IF(AND($E152="",COUNTA($C152:$D152,$F152)&gt;0),1,0)</f>
      </c>
    </row>
    <row r="153" spans="2:17" x14ac:dyDescent="0.25">
      <c r="B153" s="24">
        <v>3</v>
      </c>
      <c r="C153" s="22"/>
      <c r="D153" s="22"/>
      <c r="E153" s="22"/>
      <c r="F153" s="22"/>
      <c r="Q153">
        <f>IF(AND($E153="",COUNTA($C153:$D153,$F153)&gt;0),1,0)</f>
      </c>
    </row>
    <row r="154" spans="2:17" x14ac:dyDescent="0.25">
      <c r="B154" s="24">
        <v>4</v>
      </c>
      <c r="C154" s="22"/>
      <c r="D154" s="22"/>
      <c r="E154" s="22"/>
      <c r="F154" s="22"/>
      <c r="Q154">
        <f>IF(AND($E154="",COUNTA($C154:$D154,$F154)&gt;0),1,0)</f>
      </c>
    </row>
    <row r="155" spans="2:17" x14ac:dyDescent="0.25">
      <c r="B155" s="24">
        <v>5</v>
      </c>
      <c r="C155" s="22"/>
      <c r="D155" s="22"/>
      <c r="E155" s="22"/>
      <c r="F155" s="22"/>
      <c r="Q155">
        <f>IF(AND($E155="",COUNTA($C155:$D155,$F155)&gt;0),1,0)</f>
      </c>
    </row>
    <row r="156" spans="2:17" x14ac:dyDescent="0.25">
      <c r="B156" s="24">
        <v>6</v>
      </c>
      <c r="C156" s="22"/>
      <c r="D156" s="22"/>
      <c r="E156" s="22"/>
      <c r="F156" s="22"/>
      <c r="Q156">
        <f>IF(AND($E156="",COUNTA($C156:$D156,$F156)&gt;0),1,0)</f>
      </c>
    </row>
    <row r="157" spans="2:17" x14ac:dyDescent="0.25">
      <c r="B157" s="24">
        <v>7</v>
      </c>
      <c r="C157" s="22"/>
      <c r="D157" s="22"/>
      <c r="E157" s="22"/>
      <c r="F157" s="22"/>
      <c r="Q157">
        <f>IF(AND($E157="",COUNTA($C157:$D157,$F157)&gt;0),1,0)</f>
      </c>
    </row>
    <row r="158" spans="2:17" x14ac:dyDescent="0.25">
      <c r="B158" s="24">
        <v>8</v>
      </c>
      <c r="C158" s="22"/>
      <c r="D158" s="22"/>
      <c r="E158" s="22"/>
      <c r="F158" s="22"/>
      <c r="Q158">
        <f>IF(AND($E158="",COUNTA($C158:$D158,$F158)&gt;0),1,0)</f>
      </c>
    </row>
    <row r="160" spans="2:6" x14ac:dyDescent="0.25">
      <c r="B160" s="18" t="s">
        <v>44</v>
      </c>
      <c r="C160" s="19"/>
      <c r="D160" s="19"/>
      <c r="E160" s="5"/>
      <c r="F160" s="5"/>
    </row>
    <row r="161" ht="24" customHeight="1" spans="2:16" x14ac:dyDescent="0.25">
      <c r="B161" s="20" t="s">
        <v>65</v>
      </c>
      <c r="C161" s="21"/>
      <c r="D161" s="21"/>
      <c r="E161" s="21"/>
      <c r="F161" s="21"/>
      <c r="G161" s="4">
        <f>IFERROR(IF(AND($C$161="",$C$162=""),IF(COUNTA($C$160:$F$160,$E$163,$C$165:$F$172)+COUNTA($E$162,$C$163)&gt;0,"⚠ Pick an exercise for this card",""),IF(AND($C$161&lt;&gt;"",$C$162&lt;&gt;""),"⚠ Use the library OR a custom exercise, not both",IF(AND($C$162&lt;&gt;"",$E$162=""),"⚠ Pick a muscle group for the custom exercise",IF(COUNT($E$165:$E$172)=0,"⚠ Enter Goal Reps for at least one set",IF(SUM($Q$165:$Q$172)&gt;0,"⚠ A set is missing Goal Reps",IF(IF($C$163="",1=0,COUNTIF($P$7:$P$214,$C$163)&lt;2),"⚠ Superset "&amp;$C$163&amp;" needs 2+ exercises",IF($C$161&lt;&gt;"",IFERROR("✓ "&amp;INDEX('Exercise Library'!$C$2:$C$319,MATCH($C$161,'Exercise Library'!$B$2:$B$319,0))&amp;IF(INDEX('Exercise Library'!$D$2:$D$319,MATCH($C$161,'Exercise Library'!$B$2:$B$319,0))="Yes"," · demo video","")&amp;" · "&amp;COUNT($E$165:$E$172)&amp;" sets","⚠ Not in the library — use Custom"),"✓ Custom ("&amp;$E$162&amp;") · "&amp;COUNT($E$165:$E$172)&amp;" sets"))))))),"⚠ Check this row")</f>
      </c>
      <c r="P161">
        <f>IF(OR($C$161&lt;&gt;"",$C$162&lt;&gt;""),$C$163,"")</f>
      </c>
    </row>
    <row r="162" spans="2:6" x14ac:dyDescent="0.25">
      <c r="B162" s="18" t="s">
        <v>46</v>
      </c>
      <c r="C162" s="5"/>
      <c r="D162" s="5"/>
      <c r="E162" s="5"/>
      <c r="F162" s="18" t="s">
        <v>47</v>
      </c>
    </row>
    <row r="163" ht="22" customHeight="1" spans="2:6" x14ac:dyDescent="0.25">
      <c r="B163" s="18" t="s">
        <v>48</v>
      </c>
      <c r="C163" s="22"/>
      <c r="D163" s="18" t="s">
        <v>49</v>
      </c>
      <c r="E163" s="5"/>
      <c r="F163" s="5"/>
    </row>
    <row r="164" spans="2:6" x14ac:dyDescent="0.25">
      <c r="B164" s="23" t="s">
        <v>50</v>
      </c>
      <c r="C164" s="23" t="s">
        <v>51</v>
      </c>
      <c r="D164" s="23" t="s">
        <v>52</v>
      </c>
      <c r="E164" s="23" t="s">
        <v>53</v>
      </c>
      <c r="F164" s="23" t="s">
        <v>54</v>
      </c>
    </row>
    <row r="165" spans="2:17" x14ac:dyDescent="0.25">
      <c r="B165" s="24">
        <v>1</v>
      </c>
      <c r="C165" s="22"/>
      <c r="D165" s="22"/>
      <c r="E165" s="22"/>
      <c r="F165" s="22"/>
      <c r="Q165">
        <f>IF(AND($E165="",COUNTA($C165:$D165,$F165)&gt;0),1,0)</f>
      </c>
    </row>
    <row r="166" spans="2:17" x14ac:dyDescent="0.25">
      <c r="B166" s="24">
        <v>2</v>
      </c>
      <c r="C166" s="22"/>
      <c r="D166" s="22"/>
      <c r="E166" s="22"/>
      <c r="F166" s="22"/>
      <c r="Q166">
        <f>IF(AND($E166="",COUNTA($C166:$D166,$F166)&gt;0),1,0)</f>
      </c>
    </row>
    <row r="167" spans="2:17" x14ac:dyDescent="0.25">
      <c r="B167" s="24">
        <v>3</v>
      </c>
      <c r="C167" s="22"/>
      <c r="D167" s="22"/>
      <c r="E167" s="22"/>
      <c r="F167" s="22"/>
      <c r="Q167">
        <f>IF(AND($E167="",COUNTA($C167:$D167,$F167)&gt;0),1,0)</f>
      </c>
    </row>
    <row r="168" spans="2:17" x14ac:dyDescent="0.25">
      <c r="B168" s="24">
        <v>4</v>
      </c>
      <c r="C168" s="22"/>
      <c r="D168" s="22"/>
      <c r="E168" s="22"/>
      <c r="F168" s="22"/>
      <c r="Q168">
        <f>IF(AND($E168="",COUNTA($C168:$D168,$F168)&gt;0),1,0)</f>
      </c>
    </row>
    <row r="169" spans="2:17" x14ac:dyDescent="0.25">
      <c r="B169" s="24">
        <v>5</v>
      </c>
      <c r="C169" s="22"/>
      <c r="D169" s="22"/>
      <c r="E169" s="22"/>
      <c r="F169" s="22"/>
      <c r="Q169">
        <f>IF(AND($E169="",COUNTA($C169:$D169,$F169)&gt;0),1,0)</f>
      </c>
    </row>
    <row r="170" spans="2:17" x14ac:dyDescent="0.25">
      <c r="B170" s="24">
        <v>6</v>
      </c>
      <c r="C170" s="22"/>
      <c r="D170" s="22"/>
      <c r="E170" s="22"/>
      <c r="F170" s="22"/>
      <c r="Q170">
        <f>IF(AND($E170="",COUNTA($C170:$D170,$F170)&gt;0),1,0)</f>
      </c>
    </row>
    <row r="171" spans="2:17" x14ac:dyDescent="0.25">
      <c r="B171" s="24">
        <v>7</v>
      </c>
      <c r="C171" s="22"/>
      <c r="D171" s="22"/>
      <c r="E171" s="22"/>
      <c r="F171" s="22"/>
      <c r="Q171">
        <f>IF(AND($E171="",COUNTA($C171:$D171,$F171)&gt;0),1,0)</f>
      </c>
    </row>
    <row r="172" spans="2:17" x14ac:dyDescent="0.25">
      <c r="B172" s="24">
        <v>8</v>
      </c>
      <c r="C172" s="22"/>
      <c r="D172" s="22"/>
      <c r="E172" s="22"/>
      <c r="F172" s="22"/>
      <c r="Q172">
        <f>IF(AND($E172="",COUNTA($C172:$D172,$F172)&gt;0),1,0)</f>
      </c>
    </row>
    <row r="174" spans="2:6" x14ac:dyDescent="0.25">
      <c r="B174" s="18" t="s">
        <v>44</v>
      </c>
      <c r="C174" s="19"/>
      <c r="D174" s="19"/>
      <c r="E174" s="5"/>
      <c r="F174" s="5"/>
    </row>
    <row r="175" ht="24" customHeight="1" spans="2:16" x14ac:dyDescent="0.25">
      <c r="B175" s="20" t="s">
        <v>66</v>
      </c>
      <c r="C175" s="21"/>
      <c r="D175" s="21"/>
      <c r="E175" s="21"/>
      <c r="F175" s="21"/>
      <c r="G175" s="4">
        <f>IFERROR(IF(AND($C$175="",$C$176=""),IF(COUNTA($C$174:$F$174,$E$177,$C$179:$F$186)+COUNTA($E$176,$C$177)&gt;0,"⚠ Pick an exercise for this card",""),IF(AND($C$175&lt;&gt;"",$C$176&lt;&gt;""),"⚠ Use the library OR a custom exercise, not both",IF(AND($C$176&lt;&gt;"",$E$176=""),"⚠ Pick a muscle group for the custom exercise",IF(COUNT($E$179:$E$186)=0,"⚠ Enter Goal Reps for at least one set",IF(SUM($Q$179:$Q$186)&gt;0,"⚠ A set is missing Goal Reps",IF(IF($C$177="",1=0,COUNTIF($P$7:$P$214,$C$177)&lt;2),"⚠ Superset "&amp;$C$177&amp;" needs 2+ exercises",IF($C$175&lt;&gt;"",IFERROR("✓ "&amp;INDEX('Exercise Library'!$C$2:$C$319,MATCH($C$175,'Exercise Library'!$B$2:$B$319,0))&amp;IF(INDEX('Exercise Library'!$D$2:$D$319,MATCH($C$175,'Exercise Library'!$B$2:$B$319,0))="Yes"," · demo video","")&amp;" · "&amp;COUNT($E$179:$E$186)&amp;" sets","⚠ Not in the library — use Custom"),"✓ Custom ("&amp;$E$176&amp;") · "&amp;COUNT($E$179:$E$186)&amp;" sets"))))))),"⚠ Check this row")</f>
      </c>
      <c r="P175">
        <f>IF(OR($C$175&lt;&gt;"",$C$176&lt;&gt;""),$C$177,"")</f>
      </c>
    </row>
    <row r="176" spans="2:6" x14ac:dyDescent="0.25">
      <c r="B176" s="18" t="s">
        <v>46</v>
      </c>
      <c r="C176" s="5"/>
      <c r="D176" s="5"/>
      <c r="E176" s="5"/>
      <c r="F176" s="18" t="s">
        <v>47</v>
      </c>
    </row>
    <row r="177" ht="22" customHeight="1" spans="2:6" x14ac:dyDescent="0.25">
      <c r="B177" s="18" t="s">
        <v>48</v>
      </c>
      <c r="C177" s="22"/>
      <c r="D177" s="18" t="s">
        <v>49</v>
      </c>
      <c r="E177" s="5"/>
      <c r="F177" s="5"/>
    </row>
    <row r="178" spans="2:6" x14ac:dyDescent="0.25">
      <c r="B178" s="23" t="s">
        <v>50</v>
      </c>
      <c r="C178" s="23" t="s">
        <v>51</v>
      </c>
      <c r="D178" s="23" t="s">
        <v>52</v>
      </c>
      <c r="E178" s="23" t="s">
        <v>53</v>
      </c>
      <c r="F178" s="23" t="s">
        <v>54</v>
      </c>
    </row>
    <row r="179" spans="2:17" x14ac:dyDescent="0.25">
      <c r="B179" s="24">
        <v>1</v>
      </c>
      <c r="C179" s="22"/>
      <c r="D179" s="22"/>
      <c r="E179" s="22"/>
      <c r="F179" s="22"/>
      <c r="Q179">
        <f>IF(AND($E179="",COUNTA($C179:$D179,$F179)&gt;0),1,0)</f>
      </c>
    </row>
    <row r="180" spans="2:17" x14ac:dyDescent="0.25">
      <c r="B180" s="24">
        <v>2</v>
      </c>
      <c r="C180" s="22"/>
      <c r="D180" s="22"/>
      <c r="E180" s="22"/>
      <c r="F180" s="22"/>
      <c r="Q180">
        <f>IF(AND($E180="",COUNTA($C180:$D180,$F180)&gt;0),1,0)</f>
      </c>
    </row>
    <row r="181" spans="2:17" x14ac:dyDescent="0.25">
      <c r="B181" s="24">
        <v>3</v>
      </c>
      <c r="C181" s="22"/>
      <c r="D181" s="22"/>
      <c r="E181" s="22"/>
      <c r="F181" s="22"/>
      <c r="Q181">
        <f>IF(AND($E181="",COUNTA($C181:$D181,$F181)&gt;0),1,0)</f>
      </c>
    </row>
    <row r="182" spans="2:17" x14ac:dyDescent="0.25">
      <c r="B182" s="24">
        <v>4</v>
      </c>
      <c r="C182" s="22"/>
      <c r="D182" s="22"/>
      <c r="E182" s="22"/>
      <c r="F182" s="22"/>
      <c r="Q182">
        <f>IF(AND($E182="",COUNTA($C182:$D182,$F182)&gt;0),1,0)</f>
      </c>
    </row>
    <row r="183" spans="2:17" x14ac:dyDescent="0.25">
      <c r="B183" s="24">
        <v>5</v>
      </c>
      <c r="C183" s="22"/>
      <c r="D183" s="22"/>
      <c r="E183" s="22"/>
      <c r="F183" s="22"/>
      <c r="Q183">
        <f>IF(AND($E183="",COUNTA($C183:$D183,$F183)&gt;0),1,0)</f>
      </c>
    </row>
    <row r="184" spans="2:17" x14ac:dyDescent="0.25">
      <c r="B184" s="24">
        <v>6</v>
      </c>
      <c r="C184" s="22"/>
      <c r="D184" s="22"/>
      <c r="E184" s="22"/>
      <c r="F184" s="22"/>
      <c r="Q184">
        <f>IF(AND($E184="",COUNTA($C184:$D184,$F184)&gt;0),1,0)</f>
      </c>
    </row>
    <row r="185" spans="2:17" x14ac:dyDescent="0.25">
      <c r="B185" s="24">
        <v>7</v>
      </c>
      <c r="C185" s="22"/>
      <c r="D185" s="22"/>
      <c r="E185" s="22"/>
      <c r="F185" s="22"/>
      <c r="Q185">
        <f>IF(AND($E185="",COUNTA($C185:$D185,$F185)&gt;0),1,0)</f>
      </c>
    </row>
    <row r="186" spans="2:17" x14ac:dyDescent="0.25">
      <c r="B186" s="24">
        <v>8</v>
      </c>
      <c r="C186" s="22"/>
      <c r="D186" s="22"/>
      <c r="E186" s="22"/>
      <c r="F186" s="22"/>
      <c r="Q186">
        <f>IF(AND($E186="",COUNTA($C186:$D186,$F186)&gt;0),1,0)</f>
      </c>
    </row>
    <row r="188" spans="2:6" x14ac:dyDescent="0.25">
      <c r="B188" s="18" t="s">
        <v>44</v>
      </c>
      <c r="C188" s="19"/>
      <c r="D188" s="19"/>
      <c r="E188" s="5"/>
      <c r="F188" s="5"/>
    </row>
    <row r="189" ht="24" customHeight="1" spans="2:16" x14ac:dyDescent="0.25">
      <c r="B189" s="20" t="s">
        <v>67</v>
      </c>
      <c r="C189" s="21"/>
      <c r="D189" s="21"/>
      <c r="E189" s="21"/>
      <c r="F189" s="21"/>
      <c r="G189" s="4">
        <f>IFERROR(IF(AND($C$189="",$C$190=""),IF(COUNTA($C$188:$F$188,$E$191,$C$193:$F$200)+COUNTA($E$190,$C$191)&gt;0,"⚠ Pick an exercise for this card",""),IF(AND($C$189&lt;&gt;"",$C$190&lt;&gt;""),"⚠ Use the library OR a custom exercise, not both",IF(AND($C$190&lt;&gt;"",$E$190=""),"⚠ Pick a muscle group for the custom exercise",IF(COUNT($E$193:$E$200)=0,"⚠ Enter Goal Reps for at least one set",IF(SUM($Q$193:$Q$200)&gt;0,"⚠ A set is missing Goal Reps",IF(IF($C$191="",1=0,COUNTIF($P$7:$P$214,$C$191)&lt;2),"⚠ Superset "&amp;$C$191&amp;" needs 2+ exercises",IF($C$189&lt;&gt;"",IFERROR("✓ "&amp;INDEX('Exercise Library'!$C$2:$C$319,MATCH($C$189,'Exercise Library'!$B$2:$B$319,0))&amp;IF(INDEX('Exercise Library'!$D$2:$D$319,MATCH($C$189,'Exercise Library'!$B$2:$B$319,0))="Yes"," · demo video","")&amp;" · "&amp;COUNT($E$193:$E$200)&amp;" sets","⚠ Not in the library — use Custom"),"✓ Custom ("&amp;$E$190&amp;") · "&amp;COUNT($E$193:$E$200)&amp;" sets"))))))),"⚠ Check this row")</f>
      </c>
      <c r="P189">
        <f>IF(OR($C$189&lt;&gt;"",$C$190&lt;&gt;""),$C$191,"")</f>
      </c>
    </row>
    <row r="190" spans="2:6" x14ac:dyDescent="0.25">
      <c r="B190" s="18" t="s">
        <v>46</v>
      </c>
      <c r="C190" s="5"/>
      <c r="D190" s="5"/>
      <c r="E190" s="5"/>
      <c r="F190" s="18" t="s">
        <v>47</v>
      </c>
    </row>
    <row r="191" ht="22" customHeight="1" spans="2:6" x14ac:dyDescent="0.25">
      <c r="B191" s="18" t="s">
        <v>48</v>
      </c>
      <c r="C191" s="22"/>
      <c r="D191" s="18" t="s">
        <v>49</v>
      </c>
      <c r="E191" s="5"/>
      <c r="F191" s="5"/>
    </row>
    <row r="192" spans="2:6" x14ac:dyDescent="0.25">
      <c r="B192" s="23" t="s">
        <v>50</v>
      </c>
      <c r="C192" s="23" t="s">
        <v>51</v>
      </c>
      <c r="D192" s="23" t="s">
        <v>52</v>
      </c>
      <c r="E192" s="23" t="s">
        <v>53</v>
      </c>
      <c r="F192" s="23" t="s">
        <v>54</v>
      </c>
    </row>
    <row r="193" spans="2:17" x14ac:dyDescent="0.25">
      <c r="B193" s="24">
        <v>1</v>
      </c>
      <c r="C193" s="22"/>
      <c r="D193" s="22"/>
      <c r="E193" s="22"/>
      <c r="F193" s="22"/>
      <c r="Q193">
        <f>IF(AND($E193="",COUNTA($C193:$D193,$F193)&gt;0),1,0)</f>
      </c>
    </row>
    <row r="194" spans="2:17" x14ac:dyDescent="0.25">
      <c r="B194" s="24">
        <v>2</v>
      </c>
      <c r="C194" s="22"/>
      <c r="D194" s="22"/>
      <c r="E194" s="22"/>
      <c r="F194" s="22"/>
      <c r="Q194">
        <f>IF(AND($E194="",COUNTA($C194:$D194,$F194)&gt;0),1,0)</f>
      </c>
    </row>
    <row r="195" spans="2:17" x14ac:dyDescent="0.25">
      <c r="B195" s="24">
        <v>3</v>
      </c>
      <c r="C195" s="22"/>
      <c r="D195" s="22"/>
      <c r="E195" s="22"/>
      <c r="F195" s="22"/>
      <c r="Q195">
        <f>IF(AND($E195="",COUNTA($C195:$D195,$F195)&gt;0),1,0)</f>
      </c>
    </row>
    <row r="196" spans="2:17" x14ac:dyDescent="0.25">
      <c r="B196" s="24">
        <v>4</v>
      </c>
      <c r="C196" s="22"/>
      <c r="D196" s="22"/>
      <c r="E196" s="22"/>
      <c r="F196" s="22"/>
      <c r="Q196">
        <f>IF(AND($E196="",COUNTA($C196:$D196,$F196)&gt;0),1,0)</f>
      </c>
    </row>
    <row r="197" spans="2:17" x14ac:dyDescent="0.25">
      <c r="B197" s="24">
        <v>5</v>
      </c>
      <c r="C197" s="22"/>
      <c r="D197" s="22"/>
      <c r="E197" s="22"/>
      <c r="F197" s="22"/>
      <c r="Q197">
        <f>IF(AND($E197="",COUNTA($C197:$D197,$F197)&gt;0),1,0)</f>
      </c>
    </row>
    <row r="198" spans="2:17" x14ac:dyDescent="0.25">
      <c r="B198" s="24">
        <v>6</v>
      </c>
      <c r="C198" s="22"/>
      <c r="D198" s="22"/>
      <c r="E198" s="22"/>
      <c r="F198" s="22"/>
      <c r="Q198">
        <f>IF(AND($E198="",COUNTA($C198:$D198,$F198)&gt;0),1,0)</f>
      </c>
    </row>
    <row r="199" spans="2:17" x14ac:dyDescent="0.25">
      <c r="B199" s="24">
        <v>7</v>
      </c>
      <c r="C199" s="22"/>
      <c r="D199" s="22"/>
      <c r="E199" s="22"/>
      <c r="F199" s="22"/>
      <c r="Q199">
        <f>IF(AND($E199="",COUNTA($C199:$D199,$F199)&gt;0),1,0)</f>
      </c>
    </row>
    <row r="200" spans="2:17" x14ac:dyDescent="0.25">
      <c r="B200" s="24">
        <v>8</v>
      </c>
      <c r="C200" s="22"/>
      <c r="D200" s="22"/>
      <c r="E200" s="22"/>
      <c r="F200" s="22"/>
      <c r="Q200">
        <f>IF(AND($E200="",COUNTA($C200:$D200,$F200)&gt;0),1,0)</f>
      </c>
    </row>
    <row r="202" spans="2:6" x14ac:dyDescent="0.25">
      <c r="B202" s="18" t="s">
        <v>44</v>
      </c>
      <c r="C202" s="19"/>
      <c r="D202" s="19"/>
      <c r="E202" s="5"/>
      <c r="F202" s="5"/>
    </row>
    <row r="203" ht="24" customHeight="1" spans="2:16" x14ac:dyDescent="0.25">
      <c r="B203" s="20" t="s">
        <v>68</v>
      </c>
      <c r="C203" s="21"/>
      <c r="D203" s="21"/>
      <c r="E203" s="21"/>
      <c r="F203" s="21"/>
      <c r="G203" s="4">
        <f>IFERROR(IF(AND($C$203="",$C$204=""),IF(COUNTA($C$202:$F$202,$E$205,$C$207:$F$214)+COUNTA($E$204,$C$205)&gt;0,"⚠ Pick an exercise for this card",""),IF(AND($C$203&lt;&gt;"",$C$204&lt;&gt;""),"⚠ Use the library OR a custom exercise, not both",IF(AND($C$204&lt;&gt;"",$E$204=""),"⚠ Pick a muscle group for the custom exercise",IF(COUNT($E$207:$E$214)=0,"⚠ Enter Goal Reps for at least one set",IF(SUM($Q$207:$Q$214)&gt;0,"⚠ A set is missing Goal Reps",IF(IF($C$205="",1=0,COUNTIF($P$7:$P$214,$C$205)&lt;2),"⚠ Superset "&amp;$C$205&amp;" needs 2+ exercises",IF($C$203&lt;&gt;"",IFERROR("✓ "&amp;INDEX('Exercise Library'!$C$2:$C$319,MATCH($C$203,'Exercise Library'!$B$2:$B$319,0))&amp;IF(INDEX('Exercise Library'!$D$2:$D$319,MATCH($C$203,'Exercise Library'!$B$2:$B$319,0))="Yes"," · demo video","")&amp;" · "&amp;COUNT($E$207:$E$214)&amp;" sets","⚠ Not in the library — use Custom"),"✓ Custom ("&amp;$E$204&amp;") · "&amp;COUNT($E$207:$E$214)&amp;" sets"))))))),"⚠ Check this row")</f>
      </c>
      <c r="P203">
        <f>IF(OR($C$203&lt;&gt;"",$C$204&lt;&gt;""),$C$205,"")</f>
      </c>
    </row>
    <row r="204" spans="2:6" x14ac:dyDescent="0.25">
      <c r="B204" s="18" t="s">
        <v>46</v>
      </c>
      <c r="C204" s="5"/>
      <c r="D204" s="5"/>
      <c r="E204" s="5"/>
      <c r="F204" s="18" t="s">
        <v>47</v>
      </c>
    </row>
    <row r="205" ht="22" customHeight="1" spans="2:6" x14ac:dyDescent="0.25">
      <c r="B205" s="18" t="s">
        <v>48</v>
      </c>
      <c r="C205" s="22"/>
      <c r="D205" s="18" t="s">
        <v>49</v>
      </c>
      <c r="E205" s="5"/>
      <c r="F205" s="5"/>
    </row>
    <row r="206" spans="2:6" x14ac:dyDescent="0.25">
      <c r="B206" s="23" t="s">
        <v>50</v>
      </c>
      <c r="C206" s="23" t="s">
        <v>51</v>
      </c>
      <c r="D206" s="23" t="s">
        <v>52</v>
      </c>
      <c r="E206" s="23" t="s">
        <v>53</v>
      </c>
      <c r="F206" s="23" t="s">
        <v>54</v>
      </c>
    </row>
    <row r="207" spans="2:17" x14ac:dyDescent="0.25">
      <c r="B207" s="24">
        <v>1</v>
      </c>
      <c r="C207" s="22"/>
      <c r="D207" s="22"/>
      <c r="E207" s="22"/>
      <c r="F207" s="22"/>
      <c r="Q207">
        <f>IF(AND($E207="",COUNTA($C207:$D207,$F207)&gt;0),1,0)</f>
      </c>
    </row>
    <row r="208" spans="2:17" x14ac:dyDescent="0.25">
      <c r="B208" s="24">
        <v>2</v>
      </c>
      <c r="C208" s="22"/>
      <c r="D208" s="22"/>
      <c r="E208" s="22"/>
      <c r="F208" s="22"/>
      <c r="Q208">
        <f>IF(AND($E208="",COUNTA($C208:$D208,$F208)&gt;0),1,0)</f>
      </c>
    </row>
    <row r="209" spans="2:17" x14ac:dyDescent="0.25">
      <c r="B209" s="24">
        <v>3</v>
      </c>
      <c r="C209" s="22"/>
      <c r="D209" s="22"/>
      <c r="E209" s="22"/>
      <c r="F209" s="22"/>
      <c r="Q209">
        <f>IF(AND($E209="",COUNTA($C209:$D209,$F209)&gt;0),1,0)</f>
      </c>
    </row>
    <row r="210" spans="2:17" x14ac:dyDescent="0.25">
      <c r="B210" s="24">
        <v>4</v>
      </c>
      <c r="C210" s="22"/>
      <c r="D210" s="22"/>
      <c r="E210" s="22"/>
      <c r="F210" s="22"/>
      <c r="Q210">
        <f>IF(AND($E210="",COUNTA($C210:$D210,$F210)&gt;0),1,0)</f>
      </c>
    </row>
    <row r="211" spans="2:17" x14ac:dyDescent="0.25">
      <c r="B211" s="24">
        <v>5</v>
      </c>
      <c r="C211" s="22"/>
      <c r="D211" s="22"/>
      <c r="E211" s="22"/>
      <c r="F211" s="22"/>
      <c r="Q211">
        <f>IF(AND($E211="",COUNTA($C211:$D211,$F211)&gt;0),1,0)</f>
      </c>
    </row>
    <row r="212" spans="2:17" x14ac:dyDescent="0.25">
      <c r="B212" s="24">
        <v>6</v>
      </c>
      <c r="C212" s="22"/>
      <c r="D212" s="22"/>
      <c r="E212" s="22"/>
      <c r="F212" s="22"/>
      <c r="Q212">
        <f>IF(AND($E212="",COUNTA($C212:$D212,$F212)&gt;0),1,0)</f>
      </c>
    </row>
    <row r="213" spans="2:17" x14ac:dyDescent="0.25">
      <c r="B213" s="24">
        <v>7</v>
      </c>
      <c r="C213" s="22"/>
      <c r="D213" s="22"/>
      <c r="E213" s="22"/>
      <c r="F213" s="22"/>
      <c r="Q213">
        <f>IF(AND($E213="",COUNTA($C213:$D213,$F213)&gt;0),1,0)</f>
      </c>
    </row>
    <row r="214" spans="2:17" x14ac:dyDescent="0.25">
      <c r="B214" s="24">
        <v>8</v>
      </c>
      <c r="C214" s="22"/>
      <c r="D214" s="22"/>
      <c r="E214" s="22"/>
      <c r="F214" s="22"/>
      <c r="Q214">
        <f>IF(AND($E214="",COUNTA($C214:$D214,$F214)&gt;0),1,0)</f>
      </c>
    </row>
  </sheetData>
  <mergeCells count="78">
    <mergeCell ref="A1:G1"/>
    <mergeCell ref="C3:F3"/>
    <mergeCell ref="C4:F4"/>
    <mergeCell ref="C6:D6"/>
    <mergeCell ref="E6:F6"/>
    <mergeCell ref="C7:F7"/>
    <mergeCell ref="C8:D8"/>
    <mergeCell ref="E9:F9"/>
    <mergeCell ref="C20:D20"/>
    <mergeCell ref="E20:F20"/>
    <mergeCell ref="C21:F21"/>
    <mergeCell ref="C22:D22"/>
    <mergeCell ref="E23:F23"/>
    <mergeCell ref="C34:D34"/>
    <mergeCell ref="E34:F34"/>
    <mergeCell ref="C35:F35"/>
    <mergeCell ref="C36:D36"/>
    <mergeCell ref="E37:F37"/>
    <mergeCell ref="C48:D48"/>
    <mergeCell ref="E48:F48"/>
    <mergeCell ref="C49:F49"/>
    <mergeCell ref="C50:D50"/>
    <mergeCell ref="E51:F51"/>
    <mergeCell ref="C62:D62"/>
    <mergeCell ref="E62:F62"/>
    <mergeCell ref="C63:F63"/>
    <mergeCell ref="C64:D64"/>
    <mergeCell ref="E65:F65"/>
    <mergeCell ref="C76:D76"/>
    <mergeCell ref="E76:F76"/>
    <mergeCell ref="C77:F77"/>
    <mergeCell ref="C78:D78"/>
    <mergeCell ref="E79:F79"/>
    <mergeCell ref="C90:D90"/>
    <mergeCell ref="E90:F90"/>
    <mergeCell ref="C91:F91"/>
    <mergeCell ref="C92:D92"/>
    <mergeCell ref="E93:F93"/>
    <mergeCell ref="C104:D104"/>
    <mergeCell ref="E104:F104"/>
    <mergeCell ref="C105:F105"/>
    <mergeCell ref="C106:D106"/>
    <mergeCell ref="E107:F107"/>
    <mergeCell ref="C118:D118"/>
    <mergeCell ref="E118:F118"/>
    <mergeCell ref="C119:F119"/>
    <mergeCell ref="C120:D120"/>
    <mergeCell ref="E121:F121"/>
    <mergeCell ref="C132:D132"/>
    <mergeCell ref="E132:F132"/>
    <mergeCell ref="C133:F133"/>
    <mergeCell ref="C134:D134"/>
    <mergeCell ref="E135:F135"/>
    <mergeCell ref="C146:D146"/>
    <mergeCell ref="E146:F146"/>
    <mergeCell ref="C147:F147"/>
    <mergeCell ref="C148:D148"/>
    <mergeCell ref="E149:F149"/>
    <mergeCell ref="C160:D160"/>
    <mergeCell ref="E160:F160"/>
    <mergeCell ref="C161:F161"/>
    <mergeCell ref="C162:D162"/>
    <mergeCell ref="E163:F163"/>
    <mergeCell ref="C174:D174"/>
    <mergeCell ref="E174:F174"/>
    <mergeCell ref="C175:F175"/>
    <mergeCell ref="C176:D176"/>
    <mergeCell ref="E177:F177"/>
    <mergeCell ref="C188:D188"/>
    <mergeCell ref="E188:F188"/>
    <mergeCell ref="C189:F189"/>
    <mergeCell ref="C190:D190"/>
    <mergeCell ref="E191:F191"/>
    <mergeCell ref="C202:D202"/>
    <mergeCell ref="E202:F202"/>
    <mergeCell ref="C203:F203"/>
    <mergeCell ref="C204:D204"/>
    <mergeCell ref="E205:F205"/>
  </mergeCells>
  <conditionalFormatting sqref="A1:G1">
    <cfRule type="expression" dxfId="33" priority="1">
      <formula>$O$1="FILL"</formula>
    </cfRule>
    <cfRule type="expression" dxfId="34" priority="2">
      <formula>$O$1="SKIP"</formula>
    </cfRule>
    <cfRule type="expression" dxfId="35" priority="3">
      <formula>$O$1=""</formula>
    </cfRule>
  </conditionalFormatting>
  <conditionalFormatting sqref="G3:G214">
    <cfRule type="expression" dxfId="36" priority="1">
      <formula>LEFT(G3,1)="⚠"</formula>
    </cfRule>
    <cfRule type="expression" dxfId="37" priority="2">
      <formula>LEFT(G3,1)="✓"</formula>
    </cfRule>
  </conditionalFormatting>
  <conditionalFormatting sqref="C3:F214">
    <cfRule type="expression" dxfId="38" priority="1">
      <formula>$O$1="SKIP"</formula>
    </cfRule>
  </conditionalFormatting>
  <dataValidations count="121">
    <dataValidation type="list" allowBlank="1" showInputMessage="1" prompt="Pick from the RepLab exercise library (type to search). Library exercises come with demo videos." showErrorMessage="1" errorStyle="stop" errorTitle="Pick from the list" error="Choose one of the options in the dropdown." sqref="C105">
      <formula1>'Exercise Library'!$B$2:$B$319</formula1>
    </dataValidation>
    <dataValidation type="textLength" operator="lessThanOrEqual" allowBlank="1" showErrorMessage="1" error="200 characters or fewer." sqref="C106">
      <formula1>200</formula1>
    </dataValidation>
    <dataValidation type="list" allowBlank="1" showInputMessage="1" prompt="Same letter = same superset" showErrorMessage="1" errorStyle="stop" errorTitle="Pick from the list" error="Choose one of the options in the dropdown." sqref="C107">
      <formula1>Lists!$E$2:$E$11</formula1>
    </dataValidation>
    <dataValidation type="list" allowBlank="1" showErrorMessage="1" errorStyle="stop" errorTitle="Pick from the list" error="Choose one of the options in the dropdown." sqref="C109:C11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19">
      <formula1>'Exercise Library'!$B$2:$B$319</formula1>
    </dataValidation>
    <dataValidation type="list" allowBlank="1" showErrorMessage="1" errorStyle="stop" errorTitle="Pick from the list" error="Choose one of the options in the dropdown." sqref="C11:C18">
      <formula1>Lists!$B$2:$B$9</formula1>
    </dataValidation>
    <dataValidation type="textLength" operator="lessThanOrEqual" allowBlank="1" showErrorMessage="1" error="200 characters or fewer." sqref="C120">
      <formula1>200</formula1>
    </dataValidation>
    <dataValidation type="list" allowBlank="1" showInputMessage="1" prompt="Same letter = same superset" showErrorMessage="1" errorStyle="stop" errorTitle="Pick from the list" error="Choose one of the options in the dropdown." sqref="C121">
      <formula1>Lists!$E$2:$E$11</formula1>
    </dataValidation>
    <dataValidation type="list" allowBlank="1" showErrorMessage="1" errorStyle="stop" errorTitle="Pick from the list" error="Choose one of the options in the dropdown." sqref="C123:C13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33">
      <formula1>'Exercise Library'!$B$2:$B$319</formula1>
    </dataValidation>
    <dataValidation type="textLength" operator="lessThanOrEqual" allowBlank="1" showErrorMessage="1" error="200 characters or fewer." sqref="C134">
      <formula1>200</formula1>
    </dataValidation>
    <dataValidation type="list" allowBlank="1" showInputMessage="1" prompt="Same letter = same superset" showErrorMessage="1" errorStyle="stop" errorTitle="Pick from the list" error="Choose one of the options in the dropdown." sqref="C135">
      <formula1>Lists!$E$2:$E$11</formula1>
    </dataValidation>
    <dataValidation type="list" allowBlank="1" showErrorMessage="1" errorStyle="stop" errorTitle="Pick from the list" error="Choose one of the options in the dropdown." sqref="C137:C14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47">
      <formula1>'Exercise Library'!$B$2:$B$319</formula1>
    </dataValidation>
    <dataValidation type="textLength" operator="lessThanOrEqual" allowBlank="1" showErrorMessage="1" error="200 characters or fewer." sqref="C148">
      <formula1>200</formula1>
    </dataValidation>
    <dataValidation type="list" allowBlank="1" showInputMessage="1" prompt="Same letter = same superset" showErrorMessage="1" errorStyle="stop" errorTitle="Pick from the list" error="Choose one of the options in the dropdown." sqref="C149">
      <formula1>Lists!$E$2:$E$11</formula1>
    </dataValidation>
    <dataValidation type="list" allowBlank="1" showErrorMessage="1" errorStyle="stop" errorTitle="Pick from the list" error="Choose one of the options in the dropdown." sqref="C151:C158">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61">
      <formula1>'Exercise Library'!$B$2:$B$319</formula1>
    </dataValidation>
    <dataValidation type="textLength" operator="lessThanOrEqual" allowBlank="1" showErrorMessage="1" error="200 characters or fewer." sqref="C162">
      <formula1>200</formula1>
    </dataValidation>
    <dataValidation type="list" allowBlank="1" showInputMessage="1" prompt="Same letter = same superset" showErrorMessage="1" errorStyle="stop" errorTitle="Pick from the list" error="Choose one of the options in the dropdown." sqref="C163">
      <formula1>Lists!$E$2:$E$11</formula1>
    </dataValidation>
    <dataValidation type="list" allowBlank="1" showErrorMessage="1" errorStyle="stop" errorTitle="Pick from the list" error="Choose one of the options in the dropdown." sqref="C165:C172">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75">
      <formula1>'Exercise Library'!$B$2:$B$319</formula1>
    </dataValidation>
    <dataValidation type="textLength" operator="lessThanOrEqual" allowBlank="1" showErrorMessage="1" error="200 characters or fewer." sqref="C176">
      <formula1>200</formula1>
    </dataValidation>
    <dataValidation type="list" allowBlank="1" showInputMessage="1" prompt="Same letter = same superset" showErrorMessage="1" errorStyle="stop" errorTitle="Pick from the list" error="Choose one of the options in the dropdown." sqref="C177">
      <formula1>Lists!$E$2:$E$11</formula1>
    </dataValidation>
    <dataValidation type="list" allowBlank="1" showErrorMessage="1" errorStyle="stop" errorTitle="Pick from the list" error="Choose one of the options in the dropdown." sqref="C179:C18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89">
      <formula1>'Exercise Library'!$B$2:$B$319</formula1>
    </dataValidation>
    <dataValidation type="textLength" operator="lessThanOrEqual" allowBlank="1" showErrorMessage="1" error="200 characters or fewer." sqref="C190">
      <formula1>200</formula1>
    </dataValidation>
    <dataValidation type="list" allowBlank="1" showInputMessage="1" prompt="Same letter = same superset" showErrorMessage="1" errorStyle="stop" errorTitle="Pick from the list" error="Choose one of the options in the dropdown." sqref="C191">
      <formula1>Lists!$E$2:$E$11</formula1>
    </dataValidation>
    <dataValidation type="list" allowBlank="1" showErrorMessage="1" errorStyle="stop" errorTitle="Pick from the list" error="Choose one of the options in the dropdown." sqref="C193:C20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03">
      <formula1>'Exercise Library'!$B$2:$B$319</formula1>
    </dataValidation>
    <dataValidation type="textLength" operator="lessThanOrEqual" allowBlank="1" showErrorMessage="1" error="200 characters or fewer." sqref="C204">
      <formula1>200</formula1>
    </dataValidation>
    <dataValidation type="list" allowBlank="1" showInputMessage="1" prompt="Same letter = same superset" showErrorMessage="1" errorStyle="stop" errorTitle="Pick from the list" error="Choose one of the options in the dropdown." sqref="C205">
      <formula1>Lists!$E$2:$E$11</formula1>
    </dataValidation>
    <dataValidation type="list" allowBlank="1" showErrorMessage="1" errorStyle="stop" errorTitle="Pick from the list" error="Choose one of the options in the dropdown." sqref="C207:C21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1">
      <formula1>'Exercise Library'!$B$2:$B$319</formula1>
    </dataValidation>
    <dataValidation type="textLength" operator="lessThanOrEqual" allowBlank="1" showErrorMessage="1" error="200 characters or fewer." sqref="C22">
      <formula1>200</formula1>
    </dataValidation>
    <dataValidation type="list" allowBlank="1" showInputMessage="1" prompt="Same letter = same superset" showErrorMessage="1" errorStyle="stop" errorTitle="Pick from the list" error="Choose one of the options in the dropdown." sqref="C23">
      <formula1>Lists!$E$2:$E$11</formula1>
    </dataValidation>
    <dataValidation type="list" allowBlank="1" showErrorMessage="1" errorStyle="stop" errorTitle="Pick from the list" error="Choose one of the options in the dropdown." sqref="C25:C32">
      <formula1>Lists!$B$2:$B$9</formula1>
    </dataValidation>
    <dataValidation type="textLength" operator="lessThanOrEqual" allowBlank="1" showErrorMessage="1" error="200 characters or fewer." sqref="C3">
      <formula1>200</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35">
      <formula1>'Exercise Library'!$B$2:$B$319</formula1>
    </dataValidation>
    <dataValidation type="textLength" operator="lessThanOrEqual" allowBlank="1" showErrorMessage="1" error="200 characters or fewer." sqref="C36">
      <formula1>200</formula1>
    </dataValidation>
    <dataValidation type="list" allowBlank="1" showInputMessage="1" prompt="Same letter = same superset" showErrorMessage="1" errorStyle="stop" errorTitle="Pick from the list" error="Choose one of the options in the dropdown." sqref="C37">
      <formula1>Lists!$E$2:$E$11</formula1>
    </dataValidation>
    <dataValidation type="list" allowBlank="1" showErrorMessage="1" errorStyle="stop" errorTitle="Pick from the list" error="Choose one of the options in the dropdown." sqref="C39:C4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49">
      <formula1>'Exercise Library'!$B$2:$B$319</formula1>
    </dataValidation>
    <dataValidation type="textLength" operator="lessThanOrEqual" allowBlank="1" showErrorMessage="1" error="200 characters or fewer." sqref="C50">
      <formula1>200</formula1>
    </dataValidation>
    <dataValidation type="list" allowBlank="1" showInputMessage="1" prompt="Same letter = same superset" showErrorMessage="1" errorStyle="stop" errorTitle="Pick from the list" error="Choose one of the options in the dropdown." sqref="C51">
      <formula1>Lists!$E$2:$E$11</formula1>
    </dataValidation>
    <dataValidation type="list" allowBlank="1" showErrorMessage="1" errorStyle="stop" errorTitle="Pick from the list" error="Choose one of the options in the dropdown." sqref="C53:C6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63">
      <formula1>'Exercise Library'!$B$2:$B$319</formula1>
    </dataValidation>
    <dataValidation type="textLength" operator="lessThanOrEqual" allowBlank="1" showErrorMessage="1" error="200 characters or fewer." sqref="C64">
      <formula1>200</formula1>
    </dataValidation>
    <dataValidation type="list" allowBlank="1" showInputMessage="1" prompt="Same letter = same superset" showErrorMessage="1" errorStyle="stop" errorTitle="Pick from the list" error="Choose one of the options in the dropdown." sqref="C65">
      <formula1>Lists!$E$2:$E$11</formula1>
    </dataValidation>
    <dataValidation type="list" allowBlank="1" showErrorMessage="1" errorStyle="stop" errorTitle="Pick from the list" error="Choose one of the options in the dropdown." sqref="C67:C7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
      <formula1>'Exercise Library'!$B$2:$B$319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7">
      <formula1>'Exercise Library'!$B$2:$B$319</formula1>
    </dataValidation>
    <dataValidation type="textLength" operator="lessThanOrEqual" allowBlank="1" showErrorMessage="1" error="200 characters or fewer." sqref="C78">
      <formula1>200</formula1>
    </dataValidation>
    <dataValidation type="list" allowBlank="1" showInputMessage="1" prompt="Same letter = same superset" showErrorMessage="1" errorStyle="stop" errorTitle="Pick from the list" error="Choose one of the options in the dropdown." sqref="C79">
      <formula1>Lists!$E$2:$E$11</formula1>
    </dataValidation>
    <dataValidation type="textLength" operator="lessThanOrEqual" allowBlank="1" showErrorMessage="1" error="200 characters or fewer." sqref="C8">
      <formula1>200</formula1>
    </dataValidation>
    <dataValidation type="list" allowBlank="1" showErrorMessage="1" errorStyle="stop" errorTitle="Pick from the list" error="Choose one of the options in the dropdown." sqref="C81:C88">
      <formula1>Lists!$B$2:$B$9</formula1>
    </dataValidation>
    <dataValidation type="list" allowBlank="1" showInputMessage="1" prompt="Same letter = same superset" showErrorMessage="1" errorStyle="stop" errorTitle="Pick from the list" error="Choose one of the options in the dropdown." sqref="C9">
      <formula1>Lists!$E$2:$E$11</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91">
      <formula1>'Exercise Library'!$B$2:$B$319</formula1>
    </dataValidation>
    <dataValidation type="textLength" operator="lessThanOrEqual" allowBlank="1" showErrorMessage="1" error="200 characters or fewer." sqref="C92">
      <formula1>200</formula1>
    </dataValidation>
    <dataValidation type="list" allowBlank="1" showInputMessage="1" prompt="Same letter = same superset" showErrorMessage="1" errorStyle="stop" errorTitle="Pick from the list" error="Choose one of the options in the dropdown." sqref="C93">
      <formula1>Lists!$E$2:$E$11</formula1>
    </dataValidation>
    <dataValidation type="list" allowBlank="1" showErrorMessage="1" errorStyle="stop" errorTitle="Pick from the list" error="Choose one of the options in the dropdown." sqref="C95:C102">
      <formula1>Lists!$B$2:$B$9</formula1>
    </dataValidation>
    <dataValidation type="decimal" allowBlank="1" showErrorMessage="1" error="Goal weight: a number from 0 to 2000 (lbs)." sqref="D109:D116">
      <formula1>0</formula1>
      <formula2>2000</formula2>
    </dataValidation>
    <dataValidation type="decimal" allowBlank="1" showErrorMessage="1" error="Goal weight: a number from 0 to 2000 (lbs)." sqref="D11:D18">
      <formula1>0</formula1>
      <formula2>2000</formula2>
    </dataValidation>
    <dataValidation type="decimal" allowBlank="1" showErrorMessage="1" error="Goal weight: a number from 0 to 2000 (lbs)." sqref="D123:D130">
      <formula1>0</formula1>
      <formula2>2000</formula2>
    </dataValidation>
    <dataValidation type="decimal" allowBlank="1" showErrorMessage="1" error="Goal weight: a number from 0 to 2000 (lbs)." sqref="D137:D144">
      <formula1>0</formula1>
      <formula2>2000</formula2>
    </dataValidation>
    <dataValidation type="decimal" allowBlank="1" showErrorMessage="1" error="Goal weight: a number from 0 to 2000 (lbs)." sqref="D151:D158">
      <formula1>0</formula1>
      <formula2>2000</formula2>
    </dataValidation>
    <dataValidation type="decimal" allowBlank="1" showErrorMessage="1" error="Goal weight: a number from 0 to 2000 (lbs)." sqref="D165:D172">
      <formula1>0</formula1>
      <formula2>2000</formula2>
    </dataValidation>
    <dataValidation type="decimal" allowBlank="1" showErrorMessage="1" error="Goal weight: a number from 0 to 2000 (lbs)." sqref="D179:D186">
      <formula1>0</formula1>
      <formula2>2000</formula2>
    </dataValidation>
    <dataValidation type="decimal" allowBlank="1" showErrorMessage="1" error="Goal weight: a number from 0 to 2000 (lbs)." sqref="D193:D200">
      <formula1>0</formula1>
      <formula2>2000</formula2>
    </dataValidation>
    <dataValidation type="decimal" allowBlank="1" showErrorMessage="1" error="Goal weight: a number from 0 to 2000 (lbs)." sqref="D207:D214">
      <formula1>0</formula1>
      <formula2>2000</formula2>
    </dataValidation>
    <dataValidation type="decimal" allowBlank="1" showErrorMessage="1" error="Goal weight: a number from 0 to 2000 (lbs)." sqref="D25:D32">
      <formula1>0</formula1>
      <formula2>2000</formula2>
    </dataValidation>
    <dataValidation type="decimal" allowBlank="1" showErrorMessage="1" error="Goal weight: a number from 0 to 2000 (lbs)." sqref="D39:D46">
      <formula1>0</formula1>
      <formula2>2000</formula2>
    </dataValidation>
    <dataValidation type="decimal" allowBlank="1" showErrorMessage="1" error="Goal weight: a number from 0 to 2000 (lbs)." sqref="D53:D60">
      <formula1>0</formula1>
      <formula2>2000</formula2>
    </dataValidation>
    <dataValidation type="decimal" allowBlank="1" showErrorMessage="1" error="Goal weight: a number from 0 to 2000 (lbs)." sqref="D67:D74">
      <formula1>0</formula1>
      <formula2>2000</formula2>
    </dataValidation>
    <dataValidation type="decimal" allowBlank="1" showErrorMessage="1" error="Goal weight: a number from 0 to 2000 (lbs)." sqref="D81:D88">
      <formula1>0</formula1>
      <formula2>2000</formula2>
    </dataValidation>
    <dataValidation type="decimal" allowBlank="1" showErrorMessage="1" error="Goal weight: a number from 0 to 2000 (lbs)." sqref="D95:D102">
      <formula1>0</formula1>
      <formula2>2000</formula2>
    </dataValidation>
    <dataValidation type="list" allowBlank="1" showInputMessage="1" prompt="Muscle group for the custom exercise" showErrorMessage="1" errorStyle="stop" errorTitle="Pick from the list" error="Choose one of the options in the dropdown." sqref="E106">
      <formula1>Lists!$D$2:$D$15</formula1>
    </dataValidation>
    <dataValidation type="whole" allowBlank="1" showErrorMessage="1" error="Goal reps: a whole number from 0 to 100." sqref="E109:E116">
      <formula1>0</formula1>
      <formula2>100</formula2>
    </dataValidation>
    <dataValidation type="whole" allowBlank="1" showErrorMessage="1" error="Goal reps: a whole number from 0 to 100." sqref="E11:E18">
      <formula1>0</formula1>
      <formula2>100</formula2>
    </dataValidation>
    <dataValidation type="list" allowBlank="1" showInputMessage="1" prompt="Muscle group for the custom exercise" showErrorMessage="1" errorStyle="stop" errorTitle="Pick from the list" error="Choose one of the options in the dropdown." sqref="E120">
      <formula1>Lists!$D$2:$D$15</formula1>
    </dataValidation>
    <dataValidation type="whole" allowBlank="1" showErrorMessage="1" error="Goal reps: a whole number from 0 to 100." sqref="E123:E130">
      <formula1>0</formula1>
      <formula2>100</formula2>
    </dataValidation>
    <dataValidation type="list" allowBlank="1" showInputMessage="1" prompt="Muscle group for the custom exercise" showErrorMessage="1" errorStyle="stop" errorTitle="Pick from the list" error="Choose one of the options in the dropdown." sqref="E134">
      <formula1>Lists!$D$2:$D$15</formula1>
    </dataValidation>
    <dataValidation type="whole" allowBlank="1" showErrorMessage="1" error="Goal reps: a whole number from 0 to 100." sqref="E137:E144">
      <formula1>0</formula1>
      <formula2>100</formula2>
    </dataValidation>
    <dataValidation type="list" allowBlank="1" showInputMessage="1" prompt="Muscle group for the custom exercise" showErrorMessage="1" errorStyle="stop" errorTitle="Pick from the list" error="Choose one of the options in the dropdown." sqref="E148">
      <formula1>Lists!$D$2:$D$15</formula1>
    </dataValidation>
    <dataValidation type="whole" allowBlank="1" showErrorMessage="1" error="Goal reps: a whole number from 0 to 100." sqref="E151:E158">
      <formula1>0</formula1>
      <formula2>100</formula2>
    </dataValidation>
    <dataValidation type="list" allowBlank="1" showInputMessage="1" prompt="Muscle group for the custom exercise" showErrorMessage="1" errorStyle="stop" errorTitle="Pick from the list" error="Choose one of the options in the dropdown." sqref="E162">
      <formula1>Lists!$D$2:$D$15</formula1>
    </dataValidation>
    <dataValidation type="whole" allowBlank="1" showErrorMessage="1" error="Goal reps: a whole number from 0 to 100." sqref="E165:E172">
      <formula1>0</formula1>
      <formula2>100</formula2>
    </dataValidation>
    <dataValidation type="list" allowBlank="1" showInputMessage="1" prompt="Muscle group for the custom exercise" showErrorMessage="1" errorStyle="stop" errorTitle="Pick from the list" error="Choose one of the options in the dropdown." sqref="E176">
      <formula1>Lists!$D$2:$D$15</formula1>
    </dataValidation>
    <dataValidation type="whole" allowBlank="1" showErrorMessage="1" error="Goal reps: a whole number from 0 to 100." sqref="E179:E186">
      <formula1>0</formula1>
      <formula2>100</formula2>
    </dataValidation>
    <dataValidation type="list" allowBlank="1" showInputMessage="1" prompt="Muscle group for the custom exercise" showErrorMessage="1" errorStyle="stop" errorTitle="Pick from the list" error="Choose one of the options in the dropdown." sqref="E190">
      <formula1>Lists!$D$2:$D$15</formula1>
    </dataValidation>
    <dataValidation type="whole" allowBlank="1" showErrorMessage="1" error="Goal reps: a whole number from 0 to 100." sqref="E193:E200">
      <formula1>0</formula1>
      <formula2>100</formula2>
    </dataValidation>
    <dataValidation type="list" allowBlank="1" showInputMessage="1" prompt="Muscle group for the custom exercise" showErrorMessage="1" errorStyle="stop" errorTitle="Pick from the list" error="Choose one of the options in the dropdown." sqref="E204">
      <formula1>Lists!$D$2:$D$15</formula1>
    </dataValidation>
    <dataValidation type="whole" allowBlank="1" showErrorMessage="1" error="Goal reps: a whole number from 0 to 100." sqref="E207:E214">
      <formula1>0</formula1>
      <formula2>100</formula2>
    </dataValidation>
    <dataValidation type="list" allowBlank="1" showInputMessage="1" prompt="Muscle group for the custom exercise" showErrorMessage="1" errorStyle="stop" errorTitle="Pick from the list" error="Choose one of the options in the dropdown." sqref="E22">
      <formula1>Lists!$D$2:$D$15</formula1>
    </dataValidation>
    <dataValidation type="whole" allowBlank="1" showErrorMessage="1" error="Goal reps: a whole number from 0 to 100." sqref="E25:E32">
      <formula1>0</formula1>
      <formula2>100</formula2>
    </dataValidation>
    <dataValidation type="list" allowBlank="1" showInputMessage="1" prompt="Muscle group for the custom exercise" showErrorMessage="1" errorStyle="stop" errorTitle="Pick from the list" error="Choose one of the options in the dropdown." sqref="E36">
      <formula1>Lists!$D$2:$D$15</formula1>
    </dataValidation>
    <dataValidation type="whole" allowBlank="1" showErrorMessage="1" error="Goal reps: a whole number from 0 to 100." sqref="E39:E46">
      <formula1>0</formula1>
      <formula2>100</formula2>
    </dataValidation>
    <dataValidation type="list" allowBlank="1" showInputMessage="1" prompt="Muscle group for the custom exercise" showErrorMessage="1" errorStyle="stop" errorTitle="Pick from the list" error="Choose one of the options in the dropdown." sqref="E50">
      <formula1>Lists!$D$2:$D$15</formula1>
    </dataValidation>
    <dataValidation type="whole" allowBlank="1" showErrorMessage="1" error="Goal reps: a whole number from 0 to 100." sqref="E53:E60">
      <formula1>0</formula1>
      <formula2>100</formula2>
    </dataValidation>
    <dataValidation type="list" allowBlank="1" showInputMessage="1" prompt="Muscle group for the custom exercise" showErrorMessage="1" errorStyle="stop" errorTitle="Pick from the list" error="Choose one of the options in the dropdown." sqref="E64">
      <formula1>Lists!$D$2:$D$15</formula1>
    </dataValidation>
    <dataValidation type="whole" allowBlank="1" showErrorMessage="1" error="Goal reps: a whole number from 0 to 100." sqref="E67:E74">
      <formula1>0</formula1>
      <formula2>100</formula2>
    </dataValidation>
    <dataValidation type="list" allowBlank="1" showInputMessage="1" prompt="Muscle group for the custom exercise" showErrorMessage="1" errorStyle="stop" errorTitle="Pick from the list" error="Choose one of the options in the dropdown." sqref="E78">
      <formula1>Lists!$D$2:$D$15</formula1>
    </dataValidation>
    <dataValidation type="list" allowBlank="1" showInputMessage="1" prompt="Muscle group for the custom exercise" showErrorMessage="1" errorStyle="stop" errorTitle="Pick from the list" error="Choose one of the options in the dropdown." sqref="E8">
      <formula1>Lists!$D$2:$D$15</formula1>
    </dataValidation>
    <dataValidation type="whole" allowBlank="1" showErrorMessage="1" error="Goal reps: a whole number from 0 to 100." sqref="E81:E88">
      <formula1>0</formula1>
      <formula2>100</formula2>
    </dataValidation>
    <dataValidation type="list" allowBlank="1" showInputMessage="1" prompt="Muscle group for the custom exercise" showErrorMessage="1" errorStyle="stop" errorTitle="Pick from the list" error="Choose one of the options in the dropdown." sqref="E92">
      <formula1>Lists!$D$2:$D$15</formula1>
    </dataValidation>
    <dataValidation type="whole" allowBlank="1" showErrorMessage="1" error="Goal reps: a whole number from 0 to 100." sqref="E95:E102">
      <formula1>0</formula1>
      <formula2>100</formula2>
    </dataValidation>
    <dataValidation type="textLength" operator="lessThanOrEqual" allowBlank="1" showErrorMessage="1" error="Keep the rep range short, e.g. 8-12." sqref="F109:F116">
      <formula1>20</formula1>
    </dataValidation>
    <dataValidation type="textLength" operator="lessThanOrEqual" allowBlank="1" showErrorMessage="1" error="Keep the rep range short, e.g. 8-12." sqref="F11:F18">
      <formula1>20</formula1>
    </dataValidation>
    <dataValidation type="textLength" operator="lessThanOrEqual" allowBlank="1" showErrorMessage="1" error="Keep the rep range short, e.g. 8-12." sqref="F123:F130">
      <formula1>20</formula1>
    </dataValidation>
    <dataValidation type="textLength" operator="lessThanOrEqual" allowBlank="1" showErrorMessage="1" error="Keep the rep range short, e.g. 8-12." sqref="F137:F144">
      <formula1>20</formula1>
    </dataValidation>
    <dataValidation type="textLength" operator="lessThanOrEqual" allowBlank="1" showErrorMessage="1" error="Keep the rep range short, e.g. 8-12." sqref="F151:F158">
      <formula1>20</formula1>
    </dataValidation>
    <dataValidation type="textLength" operator="lessThanOrEqual" allowBlank="1" showErrorMessage="1" error="Keep the rep range short, e.g. 8-12." sqref="F165:F172">
      <formula1>20</formula1>
    </dataValidation>
    <dataValidation type="textLength" operator="lessThanOrEqual" allowBlank="1" showErrorMessage="1" error="Keep the rep range short, e.g. 8-12." sqref="F179:F186">
      <formula1>20</formula1>
    </dataValidation>
    <dataValidation type="textLength" operator="lessThanOrEqual" allowBlank="1" showErrorMessage="1" error="Keep the rep range short, e.g. 8-12." sqref="F193:F200">
      <formula1>20</formula1>
    </dataValidation>
    <dataValidation type="textLength" operator="lessThanOrEqual" allowBlank="1" showErrorMessage="1" error="Keep the rep range short, e.g. 8-12." sqref="F207:F214">
      <formula1>20</formula1>
    </dataValidation>
    <dataValidation type="textLength" operator="lessThanOrEqual" allowBlank="1" showErrorMessage="1" error="Keep the rep range short, e.g. 8-12." sqref="F25:F32">
      <formula1>20</formula1>
    </dataValidation>
    <dataValidation type="textLength" operator="lessThanOrEqual" allowBlank="1" showErrorMessage="1" error="Keep the rep range short, e.g. 8-12." sqref="F39:F46">
      <formula1>20</formula1>
    </dataValidation>
    <dataValidation type="textLength" operator="lessThanOrEqual" allowBlank="1" showErrorMessage="1" error="Keep the rep range short, e.g. 8-12." sqref="F53:F60">
      <formula1>20</formula1>
    </dataValidation>
    <dataValidation type="textLength" operator="lessThanOrEqual" allowBlank="1" showErrorMessage="1" error="Keep the rep range short, e.g. 8-12." sqref="F67:F74">
      <formula1>20</formula1>
    </dataValidation>
    <dataValidation type="textLength" operator="lessThanOrEqual" allowBlank="1" showErrorMessage="1" error="Keep the rep range short, e.g. 8-12." sqref="F81:F88">
      <formula1>20</formula1>
    </dataValidation>
    <dataValidation type="textLength" operator="lessThanOrEqual" allowBlank="1" showErrorMessage="1" error="Keep the rep range short, e.g. 8-12." sqref="F95:F102">
      <formula1>20</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A6EA5"/>
  </sheetPr>
  <dimension ref="A1:Q214"/>
  <sheetViews>
    <sheetView workbookViewId="0" showGridLines="0">
      <pane ySplit="4" topLeftCell="A5" activePane="bottomLeft" state="frozen"/>
      <selection pane="bottomLeft"/>
    </sheetView>
  </sheetViews>
  <sheetFormatPr defaultRowHeight="15" outlineLevelRow="0" outlineLevelCol="0" x14ac:dyDescent="55"/>
  <cols>
    <col min="1" max="1" width="2" customWidth="1"/>
    <col min="2" max="2" width="13" customWidth="1"/>
    <col min="3" max="3" width="18" customWidth="1"/>
    <col min="4" max="6" width="14" customWidth="1"/>
    <col min="7" max="7" width="40" customWidth="1"/>
    <col min="14" max="14" width="9" hidden="1" customWidth="1"/>
    <col min="15" max="15" width="9" hidden="1" customWidth="1"/>
    <col min="16" max="16" width="9" hidden="1" customWidth="1"/>
    <col min="17" max="17" width="9" hidden="1" customWidth="1"/>
  </cols>
  <sheetData>
    <row r="1" ht="30" customHeight="1" spans="1:15" x14ac:dyDescent="0.25">
      <c r="A1" s="14">
        <f>IF($O$1="FILL","✅  FILL OUT THIS SHEET — Workout 6",IF($O$1="SKIP","⛔  NOT NEEDED — leave this sheet blank","Start on the Start sheet: answer question 1 first"))</f>
      </c>
      <c r="B1" s="14"/>
      <c r="C1" s="14"/>
      <c r="D1" s="14"/>
      <c r="E1" s="14"/>
      <c r="F1" s="14"/>
      <c r="G1" s="14"/>
      <c r="O1">
        <f>IF(Start!$C$4="Single Workout","SKIP",IF(Start!$C$4="Program",IF(6&lt;=N(Start!$C$9),"FILL","SKIP"),""))</f>
      </c>
    </row>
    <row r="2" spans="15:15" x14ac:dyDescent="0.25">
      <c r="O2">
        <f>IF($O$1="FILL",COUNTIF($G$3:$G$214,"⚠*"),0)</f>
      </c>
    </row>
    <row r="3" ht="26" customHeight="1" spans="2:7" x14ac:dyDescent="0.25">
      <c r="B3" s="15" t="s">
        <v>42</v>
      </c>
      <c r="C3" s="16"/>
      <c r="D3" s="16"/>
      <c r="E3" s="16"/>
      <c r="F3" s="16"/>
      <c r="G3" s="17">
        <f>IFERROR(IF($O$1&lt;&gt;"FILL","",IF($C$3="","⚠ Name this workout",IF($C$3="REST","⚠ REST is reserved for rest days — pick another name",IF(COUNTIF(Lists!$A$3:$A$14,$C$3)&gt;1,"⚠ Another workout has this name",IF(COUNTA($C$7,$C$8,$C$21,$C$22,$C$35,$C$36,$C$49,$C$50,$C$63,$C$64,$C$77,$C$78,$C$91,$C$92,$C$105,$C$106,$C$119,$C$120,$C$133,$C$134,$C$147,$C$148,$C$161,$C$162,$C$175,$C$176,$C$189,$C$190,$C$203,$C$204)=0,"⚠ Add at least one exercise","✓ Looks good"))))),"⚠ Check this row")</f>
      </c>
    </row>
    <row r="4" ht="30" customHeight="1" spans="2:6" x14ac:dyDescent="0.25">
      <c r="B4" s="15" t="s">
        <v>43</v>
      </c>
      <c r="C4" s="5"/>
      <c r="D4" s="5"/>
      <c r="E4" s="5"/>
      <c r="F4" s="5"/>
    </row>
    <row r="6" spans="2:6" x14ac:dyDescent="0.25">
      <c r="B6" s="18" t="s">
        <v>44</v>
      </c>
      <c r="C6" s="19"/>
      <c r="D6" s="19"/>
      <c r="E6" s="5"/>
      <c r="F6" s="5"/>
    </row>
    <row r="7" ht="24" customHeight="1" spans="2:16" x14ac:dyDescent="0.25">
      <c r="B7" s="20" t="s">
        <v>45</v>
      </c>
      <c r="C7" s="21"/>
      <c r="D7" s="21"/>
      <c r="E7" s="21"/>
      <c r="F7" s="21"/>
      <c r="G7" s="4">
        <f>IFERROR(IF(AND($C$7="",$C$8=""),IF(COUNTA($C$6:$F$6,$E$9,$C$11:$F$18)+COUNTA($E$8,$C$9)&gt;0,"⚠ Pick an exercise for this card",""),IF(AND($C$7&lt;&gt;"",$C$8&lt;&gt;""),"⚠ Use the library OR a custom exercise, not both",IF(AND($C$8&lt;&gt;"",$E$8=""),"⚠ Pick a muscle group for the custom exercise",IF(COUNT($E$11:$E$18)=0,"⚠ Enter Goal Reps for at least one set",IF(SUM($Q$11:$Q$18)&gt;0,"⚠ A set is missing Goal Reps",IF(IF($C$9="",1=0,COUNTIF($P$7:$P$214,$C$9)&lt;2),"⚠ Superset "&amp;$C$9&amp;" needs 2+ exercises",IF($C$7&lt;&gt;"",IFERROR("✓ "&amp;INDEX('Exercise Library'!$C$2:$C$319,MATCH($C$7,'Exercise Library'!$B$2:$B$319,0))&amp;IF(INDEX('Exercise Library'!$D$2:$D$319,MATCH($C$7,'Exercise Library'!$B$2:$B$319,0))="Yes"," · demo video","")&amp;" · "&amp;COUNT($E$11:$E$18)&amp;" sets","⚠ Not in the library — use Custom"),"✓ Custom ("&amp;$E$8&amp;") · "&amp;COUNT($E$11:$E$18)&amp;" sets"))))))),"⚠ Check this row")</f>
      </c>
      <c r="P7">
        <f>IF(OR($C$7&lt;&gt;"",$C$8&lt;&gt;""),$C$9,"")</f>
      </c>
    </row>
    <row r="8" spans="2:6" x14ac:dyDescent="0.25">
      <c r="B8" s="18" t="s">
        <v>46</v>
      </c>
      <c r="C8" s="5"/>
      <c r="D8" s="5"/>
      <c r="E8" s="5"/>
      <c r="F8" s="18" t="s">
        <v>47</v>
      </c>
    </row>
    <row r="9" ht="22" customHeight="1" spans="2:6" x14ac:dyDescent="0.25">
      <c r="B9" s="18" t="s">
        <v>48</v>
      </c>
      <c r="C9" s="22"/>
      <c r="D9" s="18" t="s">
        <v>49</v>
      </c>
      <c r="E9" s="5"/>
      <c r="F9" s="5"/>
    </row>
    <row r="10" spans="2:6" x14ac:dyDescent="0.25">
      <c r="B10" s="23" t="s">
        <v>50</v>
      </c>
      <c r="C10" s="23" t="s">
        <v>51</v>
      </c>
      <c r="D10" s="23" t="s">
        <v>52</v>
      </c>
      <c r="E10" s="23" t="s">
        <v>53</v>
      </c>
      <c r="F10" s="23" t="s">
        <v>54</v>
      </c>
    </row>
    <row r="11" spans="2:17" x14ac:dyDescent="0.25">
      <c r="B11" s="24">
        <v>1</v>
      </c>
      <c r="C11" s="22"/>
      <c r="D11" s="22"/>
      <c r="E11" s="22"/>
      <c r="F11" s="22"/>
      <c r="Q11">
        <f>IF(AND($E11="",COUNTA($C11:$D11,$F11)&gt;0),1,0)</f>
      </c>
    </row>
    <row r="12" spans="2:17" x14ac:dyDescent="0.25">
      <c r="B12" s="24">
        <v>2</v>
      </c>
      <c r="C12" s="22"/>
      <c r="D12" s="22"/>
      <c r="E12" s="22"/>
      <c r="F12" s="22"/>
      <c r="Q12">
        <f>IF(AND($E12="",COUNTA($C12:$D12,$F12)&gt;0),1,0)</f>
      </c>
    </row>
    <row r="13" spans="2:17" x14ac:dyDescent="0.25">
      <c r="B13" s="24">
        <v>3</v>
      </c>
      <c r="C13" s="22"/>
      <c r="D13" s="22"/>
      <c r="E13" s="22"/>
      <c r="F13" s="22"/>
      <c r="Q13">
        <f>IF(AND($E13="",COUNTA($C13:$D13,$F13)&gt;0),1,0)</f>
      </c>
    </row>
    <row r="14" spans="2:17" x14ac:dyDescent="0.25">
      <c r="B14" s="24">
        <v>4</v>
      </c>
      <c r="C14" s="22"/>
      <c r="D14" s="22"/>
      <c r="E14" s="22"/>
      <c r="F14" s="22"/>
      <c r="Q14">
        <f>IF(AND($E14="",COUNTA($C14:$D14,$F14)&gt;0),1,0)</f>
      </c>
    </row>
    <row r="15" spans="2:17" x14ac:dyDescent="0.25">
      <c r="B15" s="24">
        <v>5</v>
      </c>
      <c r="C15" s="22"/>
      <c r="D15" s="22"/>
      <c r="E15" s="22"/>
      <c r="F15" s="22"/>
      <c r="Q15">
        <f>IF(AND($E15="",COUNTA($C15:$D15,$F15)&gt;0),1,0)</f>
      </c>
    </row>
    <row r="16" spans="2:17" x14ac:dyDescent="0.25">
      <c r="B16" s="24">
        <v>6</v>
      </c>
      <c r="C16" s="22"/>
      <c r="D16" s="22"/>
      <c r="E16" s="22"/>
      <c r="F16" s="22"/>
      <c r="Q16">
        <f>IF(AND($E16="",COUNTA($C16:$D16,$F16)&gt;0),1,0)</f>
      </c>
    </row>
    <row r="17" spans="2:17" x14ac:dyDescent="0.25">
      <c r="B17" s="24">
        <v>7</v>
      </c>
      <c r="C17" s="22"/>
      <c r="D17" s="22"/>
      <c r="E17" s="22"/>
      <c r="F17" s="22"/>
      <c r="Q17">
        <f>IF(AND($E17="",COUNTA($C17:$D17,$F17)&gt;0),1,0)</f>
      </c>
    </row>
    <row r="18" spans="2:17" x14ac:dyDescent="0.25">
      <c r="B18" s="24">
        <v>8</v>
      </c>
      <c r="C18" s="22"/>
      <c r="D18" s="22"/>
      <c r="E18" s="22"/>
      <c r="F18" s="22"/>
      <c r="Q18">
        <f>IF(AND($E18="",COUNTA($C18:$D18,$F18)&gt;0),1,0)</f>
      </c>
    </row>
    <row r="20" spans="2:6" x14ac:dyDescent="0.25">
      <c r="B20" s="18" t="s">
        <v>44</v>
      </c>
      <c r="C20" s="19"/>
      <c r="D20" s="19"/>
      <c r="E20" s="5"/>
      <c r="F20" s="5"/>
    </row>
    <row r="21" ht="24" customHeight="1" spans="2:16" x14ac:dyDescent="0.25">
      <c r="B21" s="20" t="s">
        <v>55</v>
      </c>
      <c r="C21" s="21"/>
      <c r="D21" s="21"/>
      <c r="E21" s="21"/>
      <c r="F21" s="21"/>
      <c r="G21" s="4">
        <f>IFERROR(IF(AND($C$21="",$C$22=""),IF(COUNTA($C$20:$F$20,$E$23,$C$25:$F$32)+COUNTA($E$22,$C$23)&gt;0,"⚠ Pick an exercise for this card",""),IF(AND($C$21&lt;&gt;"",$C$22&lt;&gt;""),"⚠ Use the library OR a custom exercise, not both",IF(AND($C$22&lt;&gt;"",$E$22=""),"⚠ Pick a muscle group for the custom exercise",IF(COUNT($E$25:$E$32)=0,"⚠ Enter Goal Reps for at least one set",IF(SUM($Q$25:$Q$32)&gt;0,"⚠ A set is missing Goal Reps",IF(IF($C$23="",1=0,COUNTIF($P$7:$P$214,$C$23)&lt;2),"⚠ Superset "&amp;$C$23&amp;" needs 2+ exercises",IF($C$21&lt;&gt;"",IFERROR("✓ "&amp;INDEX('Exercise Library'!$C$2:$C$319,MATCH($C$21,'Exercise Library'!$B$2:$B$319,0))&amp;IF(INDEX('Exercise Library'!$D$2:$D$319,MATCH($C$21,'Exercise Library'!$B$2:$B$319,0))="Yes"," · demo video","")&amp;" · "&amp;COUNT($E$25:$E$32)&amp;" sets","⚠ Not in the library — use Custom"),"✓ Custom ("&amp;$E$22&amp;") · "&amp;COUNT($E$25:$E$32)&amp;" sets"))))))),"⚠ Check this row")</f>
      </c>
      <c r="P21">
        <f>IF(OR($C$21&lt;&gt;"",$C$22&lt;&gt;""),$C$23,"")</f>
      </c>
    </row>
    <row r="22" spans="2:6" x14ac:dyDescent="0.25">
      <c r="B22" s="18" t="s">
        <v>46</v>
      </c>
      <c r="C22" s="5"/>
      <c r="D22" s="5"/>
      <c r="E22" s="5"/>
      <c r="F22" s="18" t="s">
        <v>47</v>
      </c>
    </row>
    <row r="23" ht="22" customHeight="1" spans="2:6" x14ac:dyDescent="0.25">
      <c r="B23" s="18" t="s">
        <v>48</v>
      </c>
      <c r="C23" s="22"/>
      <c r="D23" s="18" t="s">
        <v>49</v>
      </c>
      <c r="E23" s="5"/>
      <c r="F23" s="5"/>
    </row>
    <row r="24" spans="2:6" x14ac:dyDescent="0.25">
      <c r="B24" s="23" t="s">
        <v>50</v>
      </c>
      <c r="C24" s="23" t="s">
        <v>51</v>
      </c>
      <c r="D24" s="23" t="s">
        <v>52</v>
      </c>
      <c r="E24" s="23" t="s">
        <v>53</v>
      </c>
      <c r="F24" s="23" t="s">
        <v>54</v>
      </c>
    </row>
    <row r="25" spans="2:17" x14ac:dyDescent="0.25">
      <c r="B25" s="24">
        <v>1</v>
      </c>
      <c r="C25" s="22"/>
      <c r="D25" s="22"/>
      <c r="E25" s="22"/>
      <c r="F25" s="22"/>
      <c r="Q25">
        <f>IF(AND($E25="",COUNTA($C25:$D25,$F25)&gt;0),1,0)</f>
      </c>
    </row>
    <row r="26" spans="2:17" x14ac:dyDescent="0.25">
      <c r="B26" s="24">
        <v>2</v>
      </c>
      <c r="C26" s="22"/>
      <c r="D26" s="22"/>
      <c r="E26" s="22"/>
      <c r="F26" s="22"/>
      <c r="Q26">
        <f>IF(AND($E26="",COUNTA($C26:$D26,$F26)&gt;0),1,0)</f>
      </c>
    </row>
    <row r="27" spans="2:17" x14ac:dyDescent="0.25">
      <c r="B27" s="24">
        <v>3</v>
      </c>
      <c r="C27" s="22"/>
      <c r="D27" s="22"/>
      <c r="E27" s="22"/>
      <c r="F27" s="22"/>
      <c r="Q27">
        <f>IF(AND($E27="",COUNTA($C27:$D27,$F27)&gt;0),1,0)</f>
      </c>
    </row>
    <row r="28" spans="2:17" x14ac:dyDescent="0.25">
      <c r="B28" s="24">
        <v>4</v>
      </c>
      <c r="C28" s="22"/>
      <c r="D28" s="22"/>
      <c r="E28" s="22"/>
      <c r="F28" s="22"/>
      <c r="Q28">
        <f>IF(AND($E28="",COUNTA($C28:$D28,$F28)&gt;0),1,0)</f>
      </c>
    </row>
    <row r="29" spans="2:17" x14ac:dyDescent="0.25">
      <c r="B29" s="24">
        <v>5</v>
      </c>
      <c r="C29" s="22"/>
      <c r="D29" s="22"/>
      <c r="E29" s="22"/>
      <c r="F29" s="22"/>
      <c r="Q29">
        <f>IF(AND($E29="",COUNTA($C29:$D29,$F29)&gt;0),1,0)</f>
      </c>
    </row>
    <row r="30" spans="2:17" x14ac:dyDescent="0.25">
      <c r="B30" s="24">
        <v>6</v>
      </c>
      <c r="C30" s="22"/>
      <c r="D30" s="22"/>
      <c r="E30" s="22"/>
      <c r="F30" s="22"/>
      <c r="Q30">
        <f>IF(AND($E30="",COUNTA($C30:$D30,$F30)&gt;0),1,0)</f>
      </c>
    </row>
    <row r="31" spans="2:17" x14ac:dyDescent="0.25">
      <c r="B31" s="24">
        <v>7</v>
      </c>
      <c r="C31" s="22"/>
      <c r="D31" s="22"/>
      <c r="E31" s="22"/>
      <c r="F31" s="22"/>
      <c r="Q31">
        <f>IF(AND($E31="",COUNTA($C31:$D31,$F31)&gt;0),1,0)</f>
      </c>
    </row>
    <row r="32" spans="2:17" x14ac:dyDescent="0.25">
      <c r="B32" s="24">
        <v>8</v>
      </c>
      <c r="C32" s="22"/>
      <c r="D32" s="22"/>
      <c r="E32" s="22"/>
      <c r="F32" s="22"/>
      <c r="Q32">
        <f>IF(AND($E32="",COUNTA($C32:$D32,$F32)&gt;0),1,0)</f>
      </c>
    </row>
    <row r="34" spans="2:6" x14ac:dyDescent="0.25">
      <c r="B34" s="18" t="s">
        <v>44</v>
      </c>
      <c r="C34" s="19"/>
      <c r="D34" s="19"/>
      <c r="E34" s="5"/>
      <c r="F34" s="5"/>
    </row>
    <row r="35" ht="24" customHeight="1" spans="2:16" x14ac:dyDescent="0.25">
      <c r="B35" s="20" t="s">
        <v>56</v>
      </c>
      <c r="C35" s="21"/>
      <c r="D35" s="21"/>
      <c r="E35" s="21"/>
      <c r="F35" s="21"/>
      <c r="G35" s="4">
        <f>IFERROR(IF(AND($C$35="",$C$36=""),IF(COUNTA($C$34:$F$34,$E$37,$C$39:$F$46)+COUNTA($E$36,$C$37)&gt;0,"⚠ Pick an exercise for this card",""),IF(AND($C$35&lt;&gt;"",$C$36&lt;&gt;""),"⚠ Use the library OR a custom exercise, not both",IF(AND($C$36&lt;&gt;"",$E$36=""),"⚠ Pick a muscle group for the custom exercise",IF(COUNT($E$39:$E$46)=0,"⚠ Enter Goal Reps for at least one set",IF(SUM($Q$39:$Q$46)&gt;0,"⚠ A set is missing Goal Reps",IF(IF($C$37="",1=0,COUNTIF($P$7:$P$214,$C$37)&lt;2),"⚠ Superset "&amp;$C$37&amp;" needs 2+ exercises",IF($C$35&lt;&gt;"",IFERROR("✓ "&amp;INDEX('Exercise Library'!$C$2:$C$319,MATCH($C$35,'Exercise Library'!$B$2:$B$319,0))&amp;IF(INDEX('Exercise Library'!$D$2:$D$319,MATCH($C$35,'Exercise Library'!$B$2:$B$319,0))="Yes"," · demo video","")&amp;" · "&amp;COUNT($E$39:$E$46)&amp;" sets","⚠ Not in the library — use Custom"),"✓ Custom ("&amp;$E$36&amp;") · "&amp;COUNT($E$39:$E$46)&amp;" sets"))))))),"⚠ Check this row")</f>
      </c>
      <c r="P35">
        <f>IF(OR($C$35&lt;&gt;"",$C$36&lt;&gt;""),$C$37,"")</f>
      </c>
    </row>
    <row r="36" spans="2:6" x14ac:dyDescent="0.25">
      <c r="B36" s="18" t="s">
        <v>46</v>
      </c>
      <c r="C36" s="5"/>
      <c r="D36" s="5"/>
      <c r="E36" s="5"/>
      <c r="F36" s="18" t="s">
        <v>47</v>
      </c>
    </row>
    <row r="37" ht="22" customHeight="1" spans="2:6" x14ac:dyDescent="0.25">
      <c r="B37" s="18" t="s">
        <v>48</v>
      </c>
      <c r="C37" s="22"/>
      <c r="D37" s="18" t="s">
        <v>49</v>
      </c>
      <c r="E37" s="5"/>
      <c r="F37" s="5"/>
    </row>
    <row r="38" spans="2:6" x14ac:dyDescent="0.25">
      <c r="B38" s="23" t="s">
        <v>50</v>
      </c>
      <c r="C38" s="23" t="s">
        <v>51</v>
      </c>
      <c r="D38" s="23" t="s">
        <v>52</v>
      </c>
      <c r="E38" s="23" t="s">
        <v>53</v>
      </c>
      <c r="F38" s="23" t="s">
        <v>54</v>
      </c>
    </row>
    <row r="39" spans="2:17" x14ac:dyDescent="0.25">
      <c r="B39" s="24">
        <v>1</v>
      </c>
      <c r="C39" s="22"/>
      <c r="D39" s="22"/>
      <c r="E39" s="22"/>
      <c r="F39" s="22"/>
      <c r="Q39">
        <f>IF(AND($E39="",COUNTA($C39:$D39,$F39)&gt;0),1,0)</f>
      </c>
    </row>
    <row r="40" spans="2:17" x14ac:dyDescent="0.25">
      <c r="B40" s="24">
        <v>2</v>
      </c>
      <c r="C40" s="22"/>
      <c r="D40" s="22"/>
      <c r="E40" s="22"/>
      <c r="F40" s="22"/>
      <c r="Q40">
        <f>IF(AND($E40="",COUNTA($C40:$D40,$F40)&gt;0),1,0)</f>
      </c>
    </row>
    <row r="41" spans="2:17" x14ac:dyDescent="0.25">
      <c r="B41" s="24">
        <v>3</v>
      </c>
      <c r="C41" s="22"/>
      <c r="D41" s="22"/>
      <c r="E41" s="22"/>
      <c r="F41" s="22"/>
      <c r="Q41">
        <f>IF(AND($E41="",COUNTA($C41:$D41,$F41)&gt;0),1,0)</f>
      </c>
    </row>
    <row r="42" spans="2:17" x14ac:dyDescent="0.25">
      <c r="B42" s="24">
        <v>4</v>
      </c>
      <c r="C42" s="22"/>
      <c r="D42" s="22"/>
      <c r="E42" s="22"/>
      <c r="F42" s="22"/>
      <c r="Q42">
        <f>IF(AND($E42="",COUNTA($C42:$D42,$F42)&gt;0),1,0)</f>
      </c>
    </row>
    <row r="43" spans="2:17" x14ac:dyDescent="0.25">
      <c r="B43" s="24">
        <v>5</v>
      </c>
      <c r="C43" s="22"/>
      <c r="D43" s="22"/>
      <c r="E43" s="22"/>
      <c r="F43" s="22"/>
      <c r="Q43">
        <f>IF(AND($E43="",COUNTA($C43:$D43,$F43)&gt;0),1,0)</f>
      </c>
    </row>
    <row r="44" spans="2:17" x14ac:dyDescent="0.25">
      <c r="B44" s="24">
        <v>6</v>
      </c>
      <c r="C44" s="22"/>
      <c r="D44" s="22"/>
      <c r="E44" s="22"/>
      <c r="F44" s="22"/>
      <c r="Q44">
        <f>IF(AND($E44="",COUNTA($C44:$D44,$F44)&gt;0),1,0)</f>
      </c>
    </row>
    <row r="45" spans="2:17" x14ac:dyDescent="0.25">
      <c r="B45" s="24">
        <v>7</v>
      </c>
      <c r="C45" s="22"/>
      <c r="D45" s="22"/>
      <c r="E45" s="22"/>
      <c r="F45" s="22"/>
      <c r="Q45">
        <f>IF(AND($E45="",COUNTA($C45:$D45,$F45)&gt;0),1,0)</f>
      </c>
    </row>
    <row r="46" spans="2:17" x14ac:dyDescent="0.25">
      <c r="B46" s="24">
        <v>8</v>
      </c>
      <c r="C46" s="22"/>
      <c r="D46" s="22"/>
      <c r="E46" s="22"/>
      <c r="F46" s="22"/>
      <c r="Q46">
        <f>IF(AND($E46="",COUNTA($C46:$D46,$F46)&gt;0),1,0)</f>
      </c>
    </row>
    <row r="48" spans="2:6" x14ac:dyDescent="0.25">
      <c r="B48" s="18" t="s">
        <v>44</v>
      </c>
      <c r="C48" s="19"/>
      <c r="D48" s="19"/>
      <c r="E48" s="5"/>
      <c r="F48" s="5"/>
    </row>
    <row r="49" ht="24" customHeight="1" spans="2:16" x14ac:dyDescent="0.25">
      <c r="B49" s="20" t="s">
        <v>57</v>
      </c>
      <c r="C49" s="21"/>
      <c r="D49" s="21"/>
      <c r="E49" s="21"/>
      <c r="F49" s="21"/>
      <c r="G49" s="4">
        <f>IFERROR(IF(AND($C$49="",$C$50=""),IF(COUNTA($C$48:$F$48,$E$51,$C$53:$F$60)+COUNTA($E$50,$C$51)&gt;0,"⚠ Pick an exercise for this card",""),IF(AND($C$49&lt;&gt;"",$C$50&lt;&gt;""),"⚠ Use the library OR a custom exercise, not both",IF(AND($C$50&lt;&gt;"",$E$50=""),"⚠ Pick a muscle group for the custom exercise",IF(COUNT($E$53:$E$60)=0,"⚠ Enter Goal Reps for at least one set",IF(SUM($Q$53:$Q$60)&gt;0,"⚠ A set is missing Goal Reps",IF(IF($C$51="",1=0,COUNTIF($P$7:$P$214,$C$51)&lt;2),"⚠ Superset "&amp;$C$51&amp;" needs 2+ exercises",IF($C$49&lt;&gt;"",IFERROR("✓ "&amp;INDEX('Exercise Library'!$C$2:$C$319,MATCH($C$49,'Exercise Library'!$B$2:$B$319,0))&amp;IF(INDEX('Exercise Library'!$D$2:$D$319,MATCH($C$49,'Exercise Library'!$B$2:$B$319,0))="Yes"," · demo video","")&amp;" · "&amp;COUNT($E$53:$E$60)&amp;" sets","⚠ Not in the library — use Custom"),"✓ Custom ("&amp;$E$50&amp;") · "&amp;COUNT($E$53:$E$60)&amp;" sets"))))))),"⚠ Check this row")</f>
      </c>
      <c r="P49">
        <f>IF(OR($C$49&lt;&gt;"",$C$50&lt;&gt;""),$C$51,"")</f>
      </c>
    </row>
    <row r="50" spans="2:6" x14ac:dyDescent="0.25">
      <c r="B50" s="18" t="s">
        <v>46</v>
      </c>
      <c r="C50" s="5"/>
      <c r="D50" s="5"/>
      <c r="E50" s="5"/>
      <c r="F50" s="18" t="s">
        <v>47</v>
      </c>
    </row>
    <row r="51" ht="22" customHeight="1" spans="2:6" x14ac:dyDescent="0.25">
      <c r="B51" s="18" t="s">
        <v>48</v>
      </c>
      <c r="C51" s="22"/>
      <c r="D51" s="18" t="s">
        <v>49</v>
      </c>
      <c r="E51" s="5"/>
      <c r="F51" s="5"/>
    </row>
    <row r="52" spans="2:6" x14ac:dyDescent="0.25">
      <c r="B52" s="23" t="s">
        <v>50</v>
      </c>
      <c r="C52" s="23" t="s">
        <v>51</v>
      </c>
      <c r="D52" s="23" t="s">
        <v>52</v>
      </c>
      <c r="E52" s="23" t="s">
        <v>53</v>
      </c>
      <c r="F52" s="23" t="s">
        <v>54</v>
      </c>
    </row>
    <row r="53" spans="2:17" x14ac:dyDescent="0.25">
      <c r="B53" s="24">
        <v>1</v>
      </c>
      <c r="C53" s="22"/>
      <c r="D53" s="22"/>
      <c r="E53" s="22"/>
      <c r="F53" s="22"/>
      <c r="Q53">
        <f>IF(AND($E53="",COUNTA($C53:$D53,$F53)&gt;0),1,0)</f>
      </c>
    </row>
    <row r="54" spans="2:17" x14ac:dyDescent="0.25">
      <c r="B54" s="24">
        <v>2</v>
      </c>
      <c r="C54" s="22"/>
      <c r="D54" s="22"/>
      <c r="E54" s="22"/>
      <c r="F54" s="22"/>
      <c r="Q54">
        <f>IF(AND($E54="",COUNTA($C54:$D54,$F54)&gt;0),1,0)</f>
      </c>
    </row>
    <row r="55" spans="2:17" x14ac:dyDescent="0.25">
      <c r="B55" s="24">
        <v>3</v>
      </c>
      <c r="C55" s="22"/>
      <c r="D55" s="22"/>
      <c r="E55" s="22"/>
      <c r="F55" s="22"/>
      <c r="Q55">
        <f>IF(AND($E55="",COUNTA($C55:$D55,$F55)&gt;0),1,0)</f>
      </c>
    </row>
    <row r="56" spans="2:17" x14ac:dyDescent="0.25">
      <c r="B56" s="24">
        <v>4</v>
      </c>
      <c r="C56" s="22"/>
      <c r="D56" s="22"/>
      <c r="E56" s="22"/>
      <c r="F56" s="22"/>
      <c r="Q56">
        <f>IF(AND($E56="",COUNTA($C56:$D56,$F56)&gt;0),1,0)</f>
      </c>
    </row>
    <row r="57" spans="2:17" x14ac:dyDescent="0.25">
      <c r="B57" s="24">
        <v>5</v>
      </c>
      <c r="C57" s="22"/>
      <c r="D57" s="22"/>
      <c r="E57" s="22"/>
      <c r="F57" s="22"/>
      <c r="Q57">
        <f>IF(AND($E57="",COUNTA($C57:$D57,$F57)&gt;0),1,0)</f>
      </c>
    </row>
    <row r="58" spans="2:17" x14ac:dyDescent="0.25">
      <c r="B58" s="24">
        <v>6</v>
      </c>
      <c r="C58" s="22"/>
      <c r="D58" s="22"/>
      <c r="E58" s="22"/>
      <c r="F58" s="22"/>
      <c r="Q58">
        <f>IF(AND($E58="",COUNTA($C58:$D58,$F58)&gt;0),1,0)</f>
      </c>
    </row>
    <row r="59" spans="2:17" x14ac:dyDescent="0.25">
      <c r="B59" s="24">
        <v>7</v>
      </c>
      <c r="C59" s="22"/>
      <c r="D59" s="22"/>
      <c r="E59" s="22"/>
      <c r="F59" s="22"/>
      <c r="Q59">
        <f>IF(AND($E59="",COUNTA($C59:$D59,$F59)&gt;0),1,0)</f>
      </c>
    </row>
    <row r="60" spans="2:17" x14ac:dyDescent="0.25">
      <c r="B60" s="24">
        <v>8</v>
      </c>
      <c r="C60" s="22"/>
      <c r="D60" s="22"/>
      <c r="E60" s="22"/>
      <c r="F60" s="22"/>
      <c r="Q60">
        <f>IF(AND($E60="",COUNTA($C60:$D60,$F60)&gt;0),1,0)</f>
      </c>
    </row>
    <row r="62" spans="2:6" x14ac:dyDescent="0.25">
      <c r="B62" s="18" t="s">
        <v>44</v>
      </c>
      <c r="C62" s="19"/>
      <c r="D62" s="19"/>
      <c r="E62" s="5"/>
      <c r="F62" s="5"/>
    </row>
    <row r="63" ht="24" customHeight="1" spans="2:16" x14ac:dyDescent="0.25">
      <c r="B63" s="20" t="s">
        <v>58</v>
      </c>
      <c r="C63" s="21"/>
      <c r="D63" s="21"/>
      <c r="E63" s="21"/>
      <c r="F63" s="21"/>
      <c r="G63" s="4">
        <f>IFERROR(IF(AND($C$63="",$C$64=""),IF(COUNTA($C$62:$F$62,$E$65,$C$67:$F$74)+COUNTA($E$64,$C$65)&gt;0,"⚠ Pick an exercise for this card",""),IF(AND($C$63&lt;&gt;"",$C$64&lt;&gt;""),"⚠ Use the library OR a custom exercise, not both",IF(AND($C$64&lt;&gt;"",$E$64=""),"⚠ Pick a muscle group for the custom exercise",IF(COUNT($E$67:$E$74)=0,"⚠ Enter Goal Reps for at least one set",IF(SUM($Q$67:$Q$74)&gt;0,"⚠ A set is missing Goal Reps",IF(IF($C$65="",1=0,COUNTIF($P$7:$P$214,$C$65)&lt;2),"⚠ Superset "&amp;$C$65&amp;" needs 2+ exercises",IF($C$63&lt;&gt;"",IFERROR("✓ "&amp;INDEX('Exercise Library'!$C$2:$C$319,MATCH($C$63,'Exercise Library'!$B$2:$B$319,0))&amp;IF(INDEX('Exercise Library'!$D$2:$D$319,MATCH($C$63,'Exercise Library'!$B$2:$B$319,0))="Yes"," · demo video","")&amp;" · "&amp;COUNT($E$67:$E$74)&amp;" sets","⚠ Not in the library — use Custom"),"✓ Custom ("&amp;$E$64&amp;") · "&amp;COUNT($E$67:$E$74)&amp;" sets"))))))),"⚠ Check this row")</f>
      </c>
      <c r="P63">
        <f>IF(OR($C$63&lt;&gt;"",$C$64&lt;&gt;""),$C$65,"")</f>
      </c>
    </row>
    <row r="64" spans="2:6" x14ac:dyDescent="0.25">
      <c r="B64" s="18" t="s">
        <v>46</v>
      </c>
      <c r="C64" s="5"/>
      <c r="D64" s="5"/>
      <c r="E64" s="5"/>
      <c r="F64" s="18" t="s">
        <v>47</v>
      </c>
    </row>
    <row r="65" ht="22" customHeight="1" spans="2:6" x14ac:dyDescent="0.25">
      <c r="B65" s="18" t="s">
        <v>48</v>
      </c>
      <c r="C65" s="22"/>
      <c r="D65" s="18" t="s">
        <v>49</v>
      </c>
      <c r="E65" s="5"/>
      <c r="F65" s="5"/>
    </row>
    <row r="66" spans="2:6" x14ac:dyDescent="0.25">
      <c r="B66" s="23" t="s">
        <v>50</v>
      </c>
      <c r="C66" s="23" t="s">
        <v>51</v>
      </c>
      <c r="D66" s="23" t="s">
        <v>52</v>
      </c>
      <c r="E66" s="23" t="s">
        <v>53</v>
      </c>
      <c r="F66" s="23" t="s">
        <v>54</v>
      </c>
    </row>
    <row r="67" spans="2:17" x14ac:dyDescent="0.25">
      <c r="B67" s="24">
        <v>1</v>
      </c>
      <c r="C67" s="22"/>
      <c r="D67" s="22"/>
      <c r="E67" s="22"/>
      <c r="F67" s="22"/>
      <c r="Q67">
        <f>IF(AND($E67="",COUNTA($C67:$D67,$F67)&gt;0),1,0)</f>
      </c>
    </row>
    <row r="68" spans="2:17" x14ac:dyDescent="0.25">
      <c r="B68" s="24">
        <v>2</v>
      </c>
      <c r="C68" s="22"/>
      <c r="D68" s="22"/>
      <c r="E68" s="22"/>
      <c r="F68" s="22"/>
      <c r="Q68">
        <f>IF(AND($E68="",COUNTA($C68:$D68,$F68)&gt;0),1,0)</f>
      </c>
    </row>
    <row r="69" spans="2:17" x14ac:dyDescent="0.25">
      <c r="B69" s="24">
        <v>3</v>
      </c>
      <c r="C69" s="22"/>
      <c r="D69" s="22"/>
      <c r="E69" s="22"/>
      <c r="F69" s="22"/>
      <c r="Q69">
        <f>IF(AND($E69="",COUNTA($C69:$D69,$F69)&gt;0),1,0)</f>
      </c>
    </row>
    <row r="70" spans="2:17" x14ac:dyDescent="0.25">
      <c r="B70" s="24">
        <v>4</v>
      </c>
      <c r="C70" s="22"/>
      <c r="D70" s="22"/>
      <c r="E70" s="22"/>
      <c r="F70" s="22"/>
      <c r="Q70">
        <f>IF(AND($E70="",COUNTA($C70:$D70,$F70)&gt;0),1,0)</f>
      </c>
    </row>
    <row r="71" spans="2:17" x14ac:dyDescent="0.25">
      <c r="B71" s="24">
        <v>5</v>
      </c>
      <c r="C71" s="22"/>
      <c r="D71" s="22"/>
      <c r="E71" s="22"/>
      <c r="F71" s="22"/>
      <c r="Q71">
        <f>IF(AND($E71="",COUNTA($C71:$D71,$F71)&gt;0),1,0)</f>
      </c>
    </row>
    <row r="72" spans="2:17" x14ac:dyDescent="0.25">
      <c r="B72" s="24">
        <v>6</v>
      </c>
      <c r="C72" s="22"/>
      <c r="D72" s="22"/>
      <c r="E72" s="22"/>
      <c r="F72" s="22"/>
      <c r="Q72">
        <f>IF(AND($E72="",COUNTA($C72:$D72,$F72)&gt;0),1,0)</f>
      </c>
    </row>
    <row r="73" spans="2:17" x14ac:dyDescent="0.25">
      <c r="B73" s="24">
        <v>7</v>
      </c>
      <c r="C73" s="22"/>
      <c r="D73" s="22"/>
      <c r="E73" s="22"/>
      <c r="F73" s="22"/>
      <c r="Q73">
        <f>IF(AND($E73="",COUNTA($C73:$D73,$F73)&gt;0),1,0)</f>
      </c>
    </row>
    <row r="74" spans="2:17" x14ac:dyDescent="0.25">
      <c r="B74" s="24">
        <v>8</v>
      </c>
      <c r="C74" s="22"/>
      <c r="D74" s="22"/>
      <c r="E74" s="22"/>
      <c r="F74" s="22"/>
      <c r="Q74">
        <f>IF(AND($E74="",COUNTA($C74:$D74,$F74)&gt;0),1,0)</f>
      </c>
    </row>
    <row r="76" spans="2:6" x14ac:dyDescent="0.25">
      <c r="B76" s="18" t="s">
        <v>44</v>
      </c>
      <c r="C76" s="19"/>
      <c r="D76" s="19"/>
      <c r="E76" s="5"/>
      <c r="F76" s="5"/>
    </row>
    <row r="77" ht="24" customHeight="1" spans="2:16" x14ac:dyDescent="0.25">
      <c r="B77" s="20" t="s">
        <v>59</v>
      </c>
      <c r="C77" s="21"/>
      <c r="D77" s="21"/>
      <c r="E77" s="21"/>
      <c r="F77" s="21"/>
      <c r="G77" s="4">
        <f>IFERROR(IF(AND($C$77="",$C$78=""),IF(COUNTA($C$76:$F$76,$E$79,$C$81:$F$88)+COUNTA($E$78,$C$79)&gt;0,"⚠ Pick an exercise for this card",""),IF(AND($C$77&lt;&gt;"",$C$78&lt;&gt;""),"⚠ Use the library OR a custom exercise, not both",IF(AND($C$78&lt;&gt;"",$E$78=""),"⚠ Pick a muscle group for the custom exercise",IF(COUNT($E$81:$E$88)=0,"⚠ Enter Goal Reps for at least one set",IF(SUM($Q$81:$Q$88)&gt;0,"⚠ A set is missing Goal Reps",IF(IF($C$79="",1=0,COUNTIF($P$7:$P$214,$C$79)&lt;2),"⚠ Superset "&amp;$C$79&amp;" needs 2+ exercises",IF($C$77&lt;&gt;"",IFERROR("✓ "&amp;INDEX('Exercise Library'!$C$2:$C$319,MATCH($C$77,'Exercise Library'!$B$2:$B$319,0))&amp;IF(INDEX('Exercise Library'!$D$2:$D$319,MATCH($C$77,'Exercise Library'!$B$2:$B$319,0))="Yes"," · demo video","")&amp;" · "&amp;COUNT($E$81:$E$88)&amp;" sets","⚠ Not in the library — use Custom"),"✓ Custom ("&amp;$E$78&amp;") · "&amp;COUNT($E$81:$E$88)&amp;" sets"))))))),"⚠ Check this row")</f>
      </c>
      <c r="P77">
        <f>IF(OR($C$77&lt;&gt;"",$C$78&lt;&gt;""),$C$79,"")</f>
      </c>
    </row>
    <row r="78" spans="2:6" x14ac:dyDescent="0.25">
      <c r="B78" s="18" t="s">
        <v>46</v>
      </c>
      <c r="C78" s="5"/>
      <c r="D78" s="5"/>
      <c r="E78" s="5"/>
      <c r="F78" s="18" t="s">
        <v>47</v>
      </c>
    </row>
    <row r="79" ht="22" customHeight="1" spans="2:6" x14ac:dyDescent="0.25">
      <c r="B79" s="18" t="s">
        <v>48</v>
      </c>
      <c r="C79" s="22"/>
      <c r="D79" s="18" t="s">
        <v>49</v>
      </c>
      <c r="E79" s="5"/>
      <c r="F79" s="5"/>
    </row>
    <row r="80" spans="2:6" x14ac:dyDescent="0.25">
      <c r="B80" s="23" t="s">
        <v>50</v>
      </c>
      <c r="C80" s="23" t="s">
        <v>51</v>
      </c>
      <c r="D80" s="23" t="s">
        <v>52</v>
      </c>
      <c r="E80" s="23" t="s">
        <v>53</v>
      </c>
      <c r="F80" s="23" t="s">
        <v>54</v>
      </c>
    </row>
    <row r="81" spans="2:17" x14ac:dyDescent="0.25">
      <c r="B81" s="24">
        <v>1</v>
      </c>
      <c r="C81" s="22"/>
      <c r="D81" s="22"/>
      <c r="E81" s="22"/>
      <c r="F81" s="22"/>
      <c r="Q81">
        <f>IF(AND($E81="",COUNTA($C81:$D81,$F81)&gt;0),1,0)</f>
      </c>
    </row>
    <row r="82" spans="2:17" x14ac:dyDescent="0.25">
      <c r="B82" s="24">
        <v>2</v>
      </c>
      <c r="C82" s="22"/>
      <c r="D82" s="22"/>
      <c r="E82" s="22"/>
      <c r="F82" s="22"/>
      <c r="Q82">
        <f>IF(AND($E82="",COUNTA($C82:$D82,$F82)&gt;0),1,0)</f>
      </c>
    </row>
    <row r="83" spans="2:17" x14ac:dyDescent="0.25">
      <c r="B83" s="24">
        <v>3</v>
      </c>
      <c r="C83" s="22"/>
      <c r="D83" s="22"/>
      <c r="E83" s="22"/>
      <c r="F83" s="22"/>
      <c r="Q83">
        <f>IF(AND($E83="",COUNTA($C83:$D83,$F83)&gt;0),1,0)</f>
      </c>
    </row>
    <row r="84" spans="2:17" x14ac:dyDescent="0.25">
      <c r="B84" s="24">
        <v>4</v>
      </c>
      <c r="C84" s="22"/>
      <c r="D84" s="22"/>
      <c r="E84" s="22"/>
      <c r="F84" s="22"/>
      <c r="Q84">
        <f>IF(AND($E84="",COUNTA($C84:$D84,$F84)&gt;0),1,0)</f>
      </c>
    </row>
    <row r="85" spans="2:17" x14ac:dyDescent="0.25">
      <c r="B85" s="24">
        <v>5</v>
      </c>
      <c r="C85" s="22"/>
      <c r="D85" s="22"/>
      <c r="E85" s="22"/>
      <c r="F85" s="22"/>
      <c r="Q85">
        <f>IF(AND($E85="",COUNTA($C85:$D85,$F85)&gt;0),1,0)</f>
      </c>
    </row>
    <row r="86" spans="2:17" x14ac:dyDescent="0.25">
      <c r="B86" s="24">
        <v>6</v>
      </c>
      <c r="C86" s="22"/>
      <c r="D86" s="22"/>
      <c r="E86" s="22"/>
      <c r="F86" s="22"/>
      <c r="Q86">
        <f>IF(AND($E86="",COUNTA($C86:$D86,$F86)&gt;0),1,0)</f>
      </c>
    </row>
    <row r="87" spans="2:17" x14ac:dyDescent="0.25">
      <c r="B87" s="24">
        <v>7</v>
      </c>
      <c r="C87" s="22"/>
      <c r="D87" s="22"/>
      <c r="E87" s="22"/>
      <c r="F87" s="22"/>
      <c r="Q87">
        <f>IF(AND($E87="",COUNTA($C87:$D87,$F87)&gt;0),1,0)</f>
      </c>
    </row>
    <row r="88" spans="2:17" x14ac:dyDescent="0.25">
      <c r="B88" s="24">
        <v>8</v>
      </c>
      <c r="C88" s="22"/>
      <c r="D88" s="22"/>
      <c r="E88" s="22"/>
      <c r="F88" s="22"/>
      <c r="Q88">
        <f>IF(AND($E88="",COUNTA($C88:$D88,$F88)&gt;0),1,0)</f>
      </c>
    </row>
    <row r="90" spans="2:6" x14ac:dyDescent="0.25">
      <c r="B90" s="18" t="s">
        <v>44</v>
      </c>
      <c r="C90" s="19"/>
      <c r="D90" s="19"/>
      <c r="E90" s="5"/>
      <c r="F90" s="5"/>
    </row>
    <row r="91" ht="24" customHeight="1" spans="2:16" x14ac:dyDescent="0.25">
      <c r="B91" s="20" t="s">
        <v>60</v>
      </c>
      <c r="C91" s="21"/>
      <c r="D91" s="21"/>
      <c r="E91" s="21"/>
      <c r="F91" s="21"/>
      <c r="G91" s="4">
        <f>IFERROR(IF(AND($C$91="",$C$92=""),IF(COUNTA($C$90:$F$90,$E$93,$C$95:$F$102)+COUNTA($E$92,$C$93)&gt;0,"⚠ Pick an exercise for this card",""),IF(AND($C$91&lt;&gt;"",$C$92&lt;&gt;""),"⚠ Use the library OR a custom exercise, not both",IF(AND($C$92&lt;&gt;"",$E$92=""),"⚠ Pick a muscle group for the custom exercise",IF(COUNT($E$95:$E$102)=0,"⚠ Enter Goal Reps for at least one set",IF(SUM($Q$95:$Q$102)&gt;0,"⚠ A set is missing Goal Reps",IF(IF($C$93="",1=0,COUNTIF($P$7:$P$214,$C$93)&lt;2),"⚠ Superset "&amp;$C$93&amp;" needs 2+ exercises",IF($C$91&lt;&gt;"",IFERROR("✓ "&amp;INDEX('Exercise Library'!$C$2:$C$319,MATCH($C$91,'Exercise Library'!$B$2:$B$319,0))&amp;IF(INDEX('Exercise Library'!$D$2:$D$319,MATCH($C$91,'Exercise Library'!$B$2:$B$319,0))="Yes"," · demo video","")&amp;" · "&amp;COUNT($E$95:$E$102)&amp;" sets","⚠ Not in the library — use Custom"),"✓ Custom ("&amp;$E$92&amp;") · "&amp;COUNT($E$95:$E$102)&amp;" sets"))))))),"⚠ Check this row")</f>
      </c>
      <c r="P91">
        <f>IF(OR($C$91&lt;&gt;"",$C$92&lt;&gt;""),$C$93,"")</f>
      </c>
    </row>
    <row r="92" spans="2:6" x14ac:dyDescent="0.25">
      <c r="B92" s="18" t="s">
        <v>46</v>
      </c>
      <c r="C92" s="5"/>
      <c r="D92" s="5"/>
      <c r="E92" s="5"/>
      <c r="F92" s="18" t="s">
        <v>47</v>
      </c>
    </row>
    <row r="93" ht="22" customHeight="1" spans="2:6" x14ac:dyDescent="0.25">
      <c r="B93" s="18" t="s">
        <v>48</v>
      </c>
      <c r="C93" s="22"/>
      <c r="D93" s="18" t="s">
        <v>49</v>
      </c>
      <c r="E93" s="5"/>
      <c r="F93" s="5"/>
    </row>
    <row r="94" spans="2:6" x14ac:dyDescent="0.25">
      <c r="B94" s="23" t="s">
        <v>50</v>
      </c>
      <c r="C94" s="23" t="s">
        <v>51</v>
      </c>
      <c r="D94" s="23" t="s">
        <v>52</v>
      </c>
      <c r="E94" s="23" t="s">
        <v>53</v>
      </c>
      <c r="F94" s="23" t="s">
        <v>54</v>
      </c>
    </row>
    <row r="95" spans="2:17" x14ac:dyDescent="0.25">
      <c r="B95" s="24">
        <v>1</v>
      </c>
      <c r="C95" s="22"/>
      <c r="D95" s="22"/>
      <c r="E95" s="22"/>
      <c r="F95" s="22"/>
      <c r="Q95">
        <f>IF(AND($E95="",COUNTA($C95:$D95,$F95)&gt;0),1,0)</f>
      </c>
    </row>
    <row r="96" spans="2:17" x14ac:dyDescent="0.25">
      <c r="B96" s="24">
        <v>2</v>
      </c>
      <c r="C96" s="22"/>
      <c r="D96" s="22"/>
      <c r="E96" s="22"/>
      <c r="F96" s="22"/>
      <c r="Q96">
        <f>IF(AND($E96="",COUNTA($C96:$D96,$F96)&gt;0),1,0)</f>
      </c>
    </row>
    <row r="97" spans="2:17" x14ac:dyDescent="0.25">
      <c r="B97" s="24">
        <v>3</v>
      </c>
      <c r="C97" s="22"/>
      <c r="D97" s="22"/>
      <c r="E97" s="22"/>
      <c r="F97" s="22"/>
      <c r="Q97">
        <f>IF(AND($E97="",COUNTA($C97:$D97,$F97)&gt;0),1,0)</f>
      </c>
    </row>
    <row r="98" spans="2:17" x14ac:dyDescent="0.25">
      <c r="B98" s="24">
        <v>4</v>
      </c>
      <c r="C98" s="22"/>
      <c r="D98" s="22"/>
      <c r="E98" s="22"/>
      <c r="F98" s="22"/>
      <c r="Q98">
        <f>IF(AND($E98="",COUNTA($C98:$D98,$F98)&gt;0),1,0)</f>
      </c>
    </row>
    <row r="99" spans="2:17" x14ac:dyDescent="0.25">
      <c r="B99" s="24">
        <v>5</v>
      </c>
      <c r="C99" s="22"/>
      <c r="D99" s="22"/>
      <c r="E99" s="22"/>
      <c r="F99" s="22"/>
      <c r="Q99">
        <f>IF(AND($E99="",COUNTA($C99:$D99,$F99)&gt;0),1,0)</f>
      </c>
    </row>
    <row r="100" spans="2:17" x14ac:dyDescent="0.25">
      <c r="B100" s="24">
        <v>6</v>
      </c>
      <c r="C100" s="22"/>
      <c r="D100" s="22"/>
      <c r="E100" s="22"/>
      <c r="F100" s="22"/>
      <c r="Q100">
        <f>IF(AND($E100="",COUNTA($C100:$D100,$F100)&gt;0),1,0)</f>
      </c>
    </row>
    <row r="101" spans="2:17" x14ac:dyDescent="0.25">
      <c r="B101" s="24">
        <v>7</v>
      </c>
      <c r="C101" s="22"/>
      <c r="D101" s="22"/>
      <c r="E101" s="22"/>
      <c r="F101" s="22"/>
      <c r="Q101">
        <f>IF(AND($E101="",COUNTA($C101:$D101,$F101)&gt;0),1,0)</f>
      </c>
    </row>
    <row r="102" spans="2:17" x14ac:dyDescent="0.25">
      <c r="B102" s="24">
        <v>8</v>
      </c>
      <c r="C102" s="22"/>
      <c r="D102" s="22"/>
      <c r="E102" s="22"/>
      <c r="F102" s="22"/>
      <c r="Q102">
        <f>IF(AND($E102="",COUNTA($C102:$D102,$F102)&gt;0),1,0)</f>
      </c>
    </row>
    <row r="104" spans="2:6" x14ac:dyDescent="0.25">
      <c r="B104" s="18" t="s">
        <v>44</v>
      </c>
      <c r="C104" s="19"/>
      <c r="D104" s="19"/>
      <c r="E104" s="5"/>
      <c r="F104" s="5"/>
    </row>
    <row r="105" ht="24" customHeight="1" spans="2:16" x14ac:dyDescent="0.25">
      <c r="B105" s="20" t="s">
        <v>61</v>
      </c>
      <c r="C105" s="21"/>
      <c r="D105" s="21"/>
      <c r="E105" s="21"/>
      <c r="F105" s="21"/>
      <c r="G105" s="4">
        <f>IFERROR(IF(AND($C$105="",$C$106=""),IF(COUNTA($C$104:$F$104,$E$107,$C$109:$F$116)+COUNTA($E$106,$C$107)&gt;0,"⚠ Pick an exercise for this card",""),IF(AND($C$105&lt;&gt;"",$C$106&lt;&gt;""),"⚠ Use the library OR a custom exercise, not both",IF(AND($C$106&lt;&gt;"",$E$106=""),"⚠ Pick a muscle group for the custom exercise",IF(COUNT($E$109:$E$116)=0,"⚠ Enter Goal Reps for at least one set",IF(SUM($Q$109:$Q$116)&gt;0,"⚠ A set is missing Goal Reps",IF(IF($C$107="",1=0,COUNTIF($P$7:$P$214,$C$107)&lt;2),"⚠ Superset "&amp;$C$107&amp;" needs 2+ exercises",IF($C$105&lt;&gt;"",IFERROR("✓ "&amp;INDEX('Exercise Library'!$C$2:$C$319,MATCH($C$105,'Exercise Library'!$B$2:$B$319,0))&amp;IF(INDEX('Exercise Library'!$D$2:$D$319,MATCH($C$105,'Exercise Library'!$B$2:$B$319,0))="Yes"," · demo video","")&amp;" · "&amp;COUNT($E$109:$E$116)&amp;" sets","⚠ Not in the library — use Custom"),"✓ Custom ("&amp;$E$106&amp;") · "&amp;COUNT($E$109:$E$116)&amp;" sets"))))))),"⚠ Check this row")</f>
      </c>
      <c r="P105">
        <f>IF(OR($C$105&lt;&gt;"",$C$106&lt;&gt;""),$C$107,"")</f>
      </c>
    </row>
    <row r="106" spans="2:6" x14ac:dyDescent="0.25">
      <c r="B106" s="18" t="s">
        <v>46</v>
      </c>
      <c r="C106" s="5"/>
      <c r="D106" s="5"/>
      <c r="E106" s="5"/>
      <c r="F106" s="18" t="s">
        <v>47</v>
      </c>
    </row>
    <row r="107" ht="22" customHeight="1" spans="2:6" x14ac:dyDescent="0.25">
      <c r="B107" s="18" t="s">
        <v>48</v>
      </c>
      <c r="C107" s="22"/>
      <c r="D107" s="18" t="s">
        <v>49</v>
      </c>
      <c r="E107" s="5"/>
      <c r="F107" s="5"/>
    </row>
    <row r="108" spans="2:6" x14ac:dyDescent="0.25">
      <c r="B108" s="23" t="s">
        <v>50</v>
      </c>
      <c r="C108" s="23" t="s">
        <v>51</v>
      </c>
      <c r="D108" s="23" t="s">
        <v>52</v>
      </c>
      <c r="E108" s="23" t="s">
        <v>53</v>
      </c>
      <c r="F108" s="23" t="s">
        <v>54</v>
      </c>
    </row>
    <row r="109" spans="2:17" x14ac:dyDescent="0.25">
      <c r="B109" s="24">
        <v>1</v>
      </c>
      <c r="C109" s="22"/>
      <c r="D109" s="22"/>
      <c r="E109" s="22"/>
      <c r="F109" s="22"/>
      <c r="Q109">
        <f>IF(AND($E109="",COUNTA($C109:$D109,$F109)&gt;0),1,0)</f>
      </c>
    </row>
    <row r="110" spans="2:17" x14ac:dyDescent="0.25">
      <c r="B110" s="24">
        <v>2</v>
      </c>
      <c r="C110" s="22"/>
      <c r="D110" s="22"/>
      <c r="E110" s="22"/>
      <c r="F110" s="22"/>
      <c r="Q110">
        <f>IF(AND($E110="",COUNTA($C110:$D110,$F110)&gt;0),1,0)</f>
      </c>
    </row>
    <row r="111" spans="2:17" x14ac:dyDescent="0.25">
      <c r="B111" s="24">
        <v>3</v>
      </c>
      <c r="C111" s="22"/>
      <c r="D111" s="22"/>
      <c r="E111" s="22"/>
      <c r="F111" s="22"/>
      <c r="Q111">
        <f>IF(AND($E111="",COUNTA($C111:$D111,$F111)&gt;0),1,0)</f>
      </c>
    </row>
    <row r="112" spans="2:17" x14ac:dyDescent="0.25">
      <c r="B112" s="24">
        <v>4</v>
      </c>
      <c r="C112" s="22"/>
      <c r="D112" s="22"/>
      <c r="E112" s="22"/>
      <c r="F112" s="22"/>
      <c r="Q112">
        <f>IF(AND($E112="",COUNTA($C112:$D112,$F112)&gt;0),1,0)</f>
      </c>
    </row>
    <row r="113" spans="2:17" x14ac:dyDescent="0.25">
      <c r="B113" s="24">
        <v>5</v>
      </c>
      <c r="C113" s="22"/>
      <c r="D113" s="22"/>
      <c r="E113" s="22"/>
      <c r="F113" s="22"/>
      <c r="Q113">
        <f>IF(AND($E113="",COUNTA($C113:$D113,$F113)&gt;0),1,0)</f>
      </c>
    </row>
    <row r="114" spans="2:17" x14ac:dyDescent="0.25">
      <c r="B114" s="24">
        <v>6</v>
      </c>
      <c r="C114" s="22"/>
      <c r="D114" s="22"/>
      <c r="E114" s="22"/>
      <c r="F114" s="22"/>
      <c r="Q114">
        <f>IF(AND($E114="",COUNTA($C114:$D114,$F114)&gt;0),1,0)</f>
      </c>
    </row>
    <row r="115" spans="2:17" x14ac:dyDescent="0.25">
      <c r="B115" s="24">
        <v>7</v>
      </c>
      <c r="C115" s="22"/>
      <c r="D115" s="22"/>
      <c r="E115" s="22"/>
      <c r="F115" s="22"/>
      <c r="Q115">
        <f>IF(AND($E115="",COUNTA($C115:$D115,$F115)&gt;0),1,0)</f>
      </c>
    </row>
    <row r="116" spans="2:17" x14ac:dyDescent="0.25">
      <c r="B116" s="24">
        <v>8</v>
      </c>
      <c r="C116" s="22"/>
      <c r="D116" s="22"/>
      <c r="E116" s="22"/>
      <c r="F116" s="22"/>
      <c r="Q116">
        <f>IF(AND($E116="",COUNTA($C116:$D116,$F116)&gt;0),1,0)</f>
      </c>
    </row>
    <row r="118" spans="2:6" x14ac:dyDescent="0.25">
      <c r="B118" s="18" t="s">
        <v>44</v>
      </c>
      <c r="C118" s="19"/>
      <c r="D118" s="19"/>
      <c r="E118" s="5"/>
      <c r="F118" s="5"/>
    </row>
    <row r="119" ht="24" customHeight="1" spans="2:16" x14ac:dyDescent="0.25">
      <c r="B119" s="20" t="s">
        <v>62</v>
      </c>
      <c r="C119" s="21"/>
      <c r="D119" s="21"/>
      <c r="E119" s="21"/>
      <c r="F119" s="21"/>
      <c r="G119" s="4">
        <f>IFERROR(IF(AND($C$119="",$C$120=""),IF(COUNTA($C$118:$F$118,$E$121,$C$123:$F$130)+COUNTA($E$120,$C$121)&gt;0,"⚠ Pick an exercise for this card",""),IF(AND($C$119&lt;&gt;"",$C$120&lt;&gt;""),"⚠ Use the library OR a custom exercise, not both",IF(AND($C$120&lt;&gt;"",$E$120=""),"⚠ Pick a muscle group for the custom exercise",IF(COUNT($E$123:$E$130)=0,"⚠ Enter Goal Reps for at least one set",IF(SUM($Q$123:$Q$130)&gt;0,"⚠ A set is missing Goal Reps",IF(IF($C$121="",1=0,COUNTIF($P$7:$P$214,$C$121)&lt;2),"⚠ Superset "&amp;$C$121&amp;" needs 2+ exercises",IF($C$119&lt;&gt;"",IFERROR("✓ "&amp;INDEX('Exercise Library'!$C$2:$C$319,MATCH($C$119,'Exercise Library'!$B$2:$B$319,0))&amp;IF(INDEX('Exercise Library'!$D$2:$D$319,MATCH($C$119,'Exercise Library'!$B$2:$B$319,0))="Yes"," · demo video","")&amp;" · "&amp;COUNT($E$123:$E$130)&amp;" sets","⚠ Not in the library — use Custom"),"✓ Custom ("&amp;$E$120&amp;") · "&amp;COUNT($E$123:$E$130)&amp;" sets"))))))),"⚠ Check this row")</f>
      </c>
      <c r="P119">
        <f>IF(OR($C$119&lt;&gt;"",$C$120&lt;&gt;""),$C$121,"")</f>
      </c>
    </row>
    <row r="120" spans="2:6" x14ac:dyDescent="0.25">
      <c r="B120" s="18" t="s">
        <v>46</v>
      </c>
      <c r="C120" s="5"/>
      <c r="D120" s="5"/>
      <c r="E120" s="5"/>
      <c r="F120" s="18" t="s">
        <v>47</v>
      </c>
    </row>
    <row r="121" ht="22" customHeight="1" spans="2:6" x14ac:dyDescent="0.25">
      <c r="B121" s="18" t="s">
        <v>48</v>
      </c>
      <c r="C121" s="22"/>
      <c r="D121" s="18" t="s">
        <v>49</v>
      </c>
      <c r="E121" s="5"/>
      <c r="F121" s="5"/>
    </row>
    <row r="122" spans="2:6" x14ac:dyDescent="0.25">
      <c r="B122" s="23" t="s">
        <v>50</v>
      </c>
      <c r="C122" s="23" t="s">
        <v>51</v>
      </c>
      <c r="D122" s="23" t="s">
        <v>52</v>
      </c>
      <c r="E122" s="23" t="s">
        <v>53</v>
      </c>
      <c r="F122" s="23" t="s">
        <v>54</v>
      </c>
    </row>
    <row r="123" spans="2:17" x14ac:dyDescent="0.25">
      <c r="B123" s="24">
        <v>1</v>
      </c>
      <c r="C123" s="22"/>
      <c r="D123" s="22"/>
      <c r="E123" s="22"/>
      <c r="F123" s="22"/>
      <c r="Q123">
        <f>IF(AND($E123="",COUNTA($C123:$D123,$F123)&gt;0),1,0)</f>
      </c>
    </row>
    <row r="124" spans="2:17" x14ac:dyDescent="0.25">
      <c r="B124" s="24">
        <v>2</v>
      </c>
      <c r="C124" s="22"/>
      <c r="D124" s="22"/>
      <c r="E124" s="22"/>
      <c r="F124" s="22"/>
      <c r="Q124">
        <f>IF(AND($E124="",COUNTA($C124:$D124,$F124)&gt;0),1,0)</f>
      </c>
    </row>
    <row r="125" spans="2:17" x14ac:dyDescent="0.25">
      <c r="B125" s="24">
        <v>3</v>
      </c>
      <c r="C125" s="22"/>
      <c r="D125" s="22"/>
      <c r="E125" s="22"/>
      <c r="F125" s="22"/>
      <c r="Q125">
        <f>IF(AND($E125="",COUNTA($C125:$D125,$F125)&gt;0),1,0)</f>
      </c>
    </row>
    <row r="126" spans="2:17" x14ac:dyDescent="0.25">
      <c r="B126" s="24">
        <v>4</v>
      </c>
      <c r="C126" s="22"/>
      <c r="D126" s="22"/>
      <c r="E126" s="22"/>
      <c r="F126" s="22"/>
      <c r="Q126">
        <f>IF(AND($E126="",COUNTA($C126:$D126,$F126)&gt;0),1,0)</f>
      </c>
    </row>
    <row r="127" spans="2:17" x14ac:dyDescent="0.25">
      <c r="B127" s="24">
        <v>5</v>
      </c>
      <c r="C127" s="22"/>
      <c r="D127" s="22"/>
      <c r="E127" s="22"/>
      <c r="F127" s="22"/>
      <c r="Q127">
        <f>IF(AND($E127="",COUNTA($C127:$D127,$F127)&gt;0),1,0)</f>
      </c>
    </row>
    <row r="128" spans="2:17" x14ac:dyDescent="0.25">
      <c r="B128" s="24">
        <v>6</v>
      </c>
      <c r="C128" s="22"/>
      <c r="D128" s="22"/>
      <c r="E128" s="22"/>
      <c r="F128" s="22"/>
      <c r="Q128">
        <f>IF(AND($E128="",COUNTA($C128:$D128,$F128)&gt;0),1,0)</f>
      </c>
    </row>
    <row r="129" spans="2:17" x14ac:dyDescent="0.25">
      <c r="B129" s="24">
        <v>7</v>
      </c>
      <c r="C129" s="22"/>
      <c r="D129" s="22"/>
      <c r="E129" s="22"/>
      <c r="F129" s="22"/>
      <c r="Q129">
        <f>IF(AND($E129="",COUNTA($C129:$D129,$F129)&gt;0),1,0)</f>
      </c>
    </row>
    <row r="130" spans="2:17" x14ac:dyDescent="0.25">
      <c r="B130" s="24">
        <v>8</v>
      </c>
      <c r="C130" s="22"/>
      <c r="D130" s="22"/>
      <c r="E130" s="22"/>
      <c r="F130" s="22"/>
      <c r="Q130">
        <f>IF(AND($E130="",COUNTA($C130:$D130,$F130)&gt;0),1,0)</f>
      </c>
    </row>
    <row r="132" spans="2:6" x14ac:dyDescent="0.25">
      <c r="B132" s="18" t="s">
        <v>44</v>
      </c>
      <c r="C132" s="19"/>
      <c r="D132" s="19"/>
      <c r="E132" s="5"/>
      <c r="F132" s="5"/>
    </row>
    <row r="133" ht="24" customHeight="1" spans="2:16" x14ac:dyDescent="0.25">
      <c r="B133" s="20" t="s">
        <v>63</v>
      </c>
      <c r="C133" s="21"/>
      <c r="D133" s="21"/>
      <c r="E133" s="21"/>
      <c r="F133" s="21"/>
      <c r="G133" s="4">
        <f>IFERROR(IF(AND($C$133="",$C$134=""),IF(COUNTA($C$132:$F$132,$E$135,$C$137:$F$144)+COUNTA($E$134,$C$135)&gt;0,"⚠ Pick an exercise for this card",""),IF(AND($C$133&lt;&gt;"",$C$134&lt;&gt;""),"⚠ Use the library OR a custom exercise, not both",IF(AND($C$134&lt;&gt;"",$E$134=""),"⚠ Pick a muscle group for the custom exercise",IF(COUNT($E$137:$E$144)=0,"⚠ Enter Goal Reps for at least one set",IF(SUM($Q$137:$Q$144)&gt;0,"⚠ A set is missing Goal Reps",IF(IF($C$135="",1=0,COUNTIF($P$7:$P$214,$C$135)&lt;2),"⚠ Superset "&amp;$C$135&amp;" needs 2+ exercises",IF($C$133&lt;&gt;"",IFERROR("✓ "&amp;INDEX('Exercise Library'!$C$2:$C$319,MATCH($C$133,'Exercise Library'!$B$2:$B$319,0))&amp;IF(INDEX('Exercise Library'!$D$2:$D$319,MATCH($C$133,'Exercise Library'!$B$2:$B$319,0))="Yes"," · demo video","")&amp;" · "&amp;COUNT($E$137:$E$144)&amp;" sets","⚠ Not in the library — use Custom"),"✓ Custom ("&amp;$E$134&amp;") · "&amp;COUNT($E$137:$E$144)&amp;" sets"))))))),"⚠ Check this row")</f>
      </c>
      <c r="P133">
        <f>IF(OR($C$133&lt;&gt;"",$C$134&lt;&gt;""),$C$135,"")</f>
      </c>
    </row>
    <row r="134" spans="2:6" x14ac:dyDescent="0.25">
      <c r="B134" s="18" t="s">
        <v>46</v>
      </c>
      <c r="C134" s="5"/>
      <c r="D134" s="5"/>
      <c r="E134" s="5"/>
      <c r="F134" s="18" t="s">
        <v>47</v>
      </c>
    </row>
    <row r="135" ht="22" customHeight="1" spans="2:6" x14ac:dyDescent="0.25">
      <c r="B135" s="18" t="s">
        <v>48</v>
      </c>
      <c r="C135" s="22"/>
      <c r="D135" s="18" t="s">
        <v>49</v>
      </c>
      <c r="E135" s="5"/>
      <c r="F135" s="5"/>
    </row>
    <row r="136" spans="2:6" x14ac:dyDescent="0.25">
      <c r="B136" s="23" t="s">
        <v>50</v>
      </c>
      <c r="C136" s="23" t="s">
        <v>51</v>
      </c>
      <c r="D136" s="23" t="s">
        <v>52</v>
      </c>
      <c r="E136" s="23" t="s">
        <v>53</v>
      </c>
      <c r="F136" s="23" t="s">
        <v>54</v>
      </c>
    </row>
    <row r="137" spans="2:17" x14ac:dyDescent="0.25">
      <c r="B137" s="24">
        <v>1</v>
      </c>
      <c r="C137" s="22"/>
      <c r="D137" s="22"/>
      <c r="E137" s="22"/>
      <c r="F137" s="22"/>
      <c r="Q137">
        <f>IF(AND($E137="",COUNTA($C137:$D137,$F137)&gt;0),1,0)</f>
      </c>
    </row>
    <row r="138" spans="2:17" x14ac:dyDescent="0.25">
      <c r="B138" s="24">
        <v>2</v>
      </c>
      <c r="C138" s="22"/>
      <c r="D138" s="22"/>
      <c r="E138" s="22"/>
      <c r="F138" s="22"/>
      <c r="Q138">
        <f>IF(AND($E138="",COUNTA($C138:$D138,$F138)&gt;0),1,0)</f>
      </c>
    </row>
    <row r="139" spans="2:17" x14ac:dyDescent="0.25">
      <c r="B139" s="24">
        <v>3</v>
      </c>
      <c r="C139" s="22"/>
      <c r="D139" s="22"/>
      <c r="E139" s="22"/>
      <c r="F139" s="22"/>
      <c r="Q139">
        <f>IF(AND($E139="",COUNTA($C139:$D139,$F139)&gt;0),1,0)</f>
      </c>
    </row>
    <row r="140" spans="2:17" x14ac:dyDescent="0.25">
      <c r="B140" s="24">
        <v>4</v>
      </c>
      <c r="C140" s="22"/>
      <c r="D140" s="22"/>
      <c r="E140" s="22"/>
      <c r="F140" s="22"/>
      <c r="Q140">
        <f>IF(AND($E140="",COUNTA($C140:$D140,$F140)&gt;0),1,0)</f>
      </c>
    </row>
    <row r="141" spans="2:17" x14ac:dyDescent="0.25">
      <c r="B141" s="24">
        <v>5</v>
      </c>
      <c r="C141" s="22"/>
      <c r="D141" s="22"/>
      <c r="E141" s="22"/>
      <c r="F141" s="22"/>
      <c r="Q141">
        <f>IF(AND($E141="",COUNTA($C141:$D141,$F141)&gt;0),1,0)</f>
      </c>
    </row>
    <row r="142" spans="2:17" x14ac:dyDescent="0.25">
      <c r="B142" s="24">
        <v>6</v>
      </c>
      <c r="C142" s="22"/>
      <c r="D142" s="22"/>
      <c r="E142" s="22"/>
      <c r="F142" s="22"/>
      <c r="Q142">
        <f>IF(AND($E142="",COUNTA($C142:$D142,$F142)&gt;0),1,0)</f>
      </c>
    </row>
    <row r="143" spans="2:17" x14ac:dyDescent="0.25">
      <c r="B143" s="24">
        <v>7</v>
      </c>
      <c r="C143" s="22"/>
      <c r="D143" s="22"/>
      <c r="E143" s="22"/>
      <c r="F143" s="22"/>
      <c r="Q143">
        <f>IF(AND($E143="",COUNTA($C143:$D143,$F143)&gt;0),1,0)</f>
      </c>
    </row>
    <row r="144" spans="2:17" x14ac:dyDescent="0.25">
      <c r="B144" s="24">
        <v>8</v>
      </c>
      <c r="C144" s="22"/>
      <c r="D144" s="22"/>
      <c r="E144" s="22"/>
      <c r="F144" s="22"/>
      <c r="Q144">
        <f>IF(AND($E144="",COUNTA($C144:$D144,$F144)&gt;0),1,0)</f>
      </c>
    </row>
    <row r="146" spans="2:6" x14ac:dyDescent="0.25">
      <c r="B146" s="18" t="s">
        <v>44</v>
      </c>
      <c r="C146" s="19"/>
      <c r="D146" s="19"/>
      <c r="E146" s="5"/>
      <c r="F146" s="5"/>
    </row>
    <row r="147" ht="24" customHeight="1" spans="2:16" x14ac:dyDescent="0.25">
      <c r="B147" s="20" t="s">
        <v>64</v>
      </c>
      <c r="C147" s="21"/>
      <c r="D147" s="21"/>
      <c r="E147" s="21"/>
      <c r="F147" s="21"/>
      <c r="G147" s="4">
        <f>IFERROR(IF(AND($C$147="",$C$148=""),IF(COUNTA($C$146:$F$146,$E$149,$C$151:$F$158)+COUNTA($E$148,$C$149)&gt;0,"⚠ Pick an exercise for this card",""),IF(AND($C$147&lt;&gt;"",$C$148&lt;&gt;""),"⚠ Use the library OR a custom exercise, not both",IF(AND($C$148&lt;&gt;"",$E$148=""),"⚠ Pick a muscle group for the custom exercise",IF(COUNT($E$151:$E$158)=0,"⚠ Enter Goal Reps for at least one set",IF(SUM($Q$151:$Q$158)&gt;0,"⚠ A set is missing Goal Reps",IF(IF($C$149="",1=0,COUNTIF($P$7:$P$214,$C$149)&lt;2),"⚠ Superset "&amp;$C$149&amp;" needs 2+ exercises",IF($C$147&lt;&gt;"",IFERROR("✓ "&amp;INDEX('Exercise Library'!$C$2:$C$319,MATCH($C$147,'Exercise Library'!$B$2:$B$319,0))&amp;IF(INDEX('Exercise Library'!$D$2:$D$319,MATCH($C$147,'Exercise Library'!$B$2:$B$319,0))="Yes"," · demo video","")&amp;" · "&amp;COUNT($E$151:$E$158)&amp;" sets","⚠ Not in the library — use Custom"),"✓ Custom ("&amp;$E$148&amp;") · "&amp;COUNT($E$151:$E$158)&amp;" sets"))))))),"⚠ Check this row")</f>
      </c>
      <c r="P147">
        <f>IF(OR($C$147&lt;&gt;"",$C$148&lt;&gt;""),$C$149,"")</f>
      </c>
    </row>
    <row r="148" spans="2:6" x14ac:dyDescent="0.25">
      <c r="B148" s="18" t="s">
        <v>46</v>
      </c>
      <c r="C148" s="5"/>
      <c r="D148" s="5"/>
      <c r="E148" s="5"/>
      <c r="F148" s="18" t="s">
        <v>47</v>
      </c>
    </row>
    <row r="149" ht="22" customHeight="1" spans="2:6" x14ac:dyDescent="0.25">
      <c r="B149" s="18" t="s">
        <v>48</v>
      </c>
      <c r="C149" s="22"/>
      <c r="D149" s="18" t="s">
        <v>49</v>
      </c>
      <c r="E149" s="5"/>
      <c r="F149" s="5"/>
    </row>
    <row r="150" spans="2:6" x14ac:dyDescent="0.25">
      <c r="B150" s="23" t="s">
        <v>50</v>
      </c>
      <c r="C150" s="23" t="s">
        <v>51</v>
      </c>
      <c r="D150" s="23" t="s">
        <v>52</v>
      </c>
      <c r="E150" s="23" t="s">
        <v>53</v>
      </c>
      <c r="F150" s="23" t="s">
        <v>54</v>
      </c>
    </row>
    <row r="151" spans="2:17" x14ac:dyDescent="0.25">
      <c r="B151" s="24">
        <v>1</v>
      </c>
      <c r="C151" s="22"/>
      <c r="D151" s="22"/>
      <c r="E151" s="22"/>
      <c r="F151" s="22"/>
      <c r="Q151">
        <f>IF(AND($E151="",COUNTA($C151:$D151,$F151)&gt;0),1,0)</f>
      </c>
    </row>
    <row r="152" spans="2:17" x14ac:dyDescent="0.25">
      <c r="B152" s="24">
        <v>2</v>
      </c>
      <c r="C152" s="22"/>
      <c r="D152" s="22"/>
      <c r="E152" s="22"/>
      <c r="F152" s="22"/>
      <c r="Q152">
        <f>IF(AND($E152="",COUNTA($C152:$D152,$F152)&gt;0),1,0)</f>
      </c>
    </row>
    <row r="153" spans="2:17" x14ac:dyDescent="0.25">
      <c r="B153" s="24">
        <v>3</v>
      </c>
      <c r="C153" s="22"/>
      <c r="D153" s="22"/>
      <c r="E153" s="22"/>
      <c r="F153" s="22"/>
      <c r="Q153">
        <f>IF(AND($E153="",COUNTA($C153:$D153,$F153)&gt;0),1,0)</f>
      </c>
    </row>
    <row r="154" spans="2:17" x14ac:dyDescent="0.25">
      <c r="B154" s="24">
        <v>4</v>
      </c>
      <c r="C154" s="22"/>
      <c r="D154" s="22"/>
      <c r="E154" s="22"/>
      <c r="F154" s="22"/>
      <c r="Q154">
        <f>IF(AND($E154="",COUNTA($C154:$D154,$F154)&gt;0),1,0)</f>
      </c>
    </row>
    <row r="155" spans="2:17" x14ac:dyDescent="0.25">
      <c r="B155" s="24">
        <v>5</v>
      </c>
      <c r="C155" s="22"/>
      <c r="D155" s="22"/>
      <c r="E155" s="22"/>
      <c r="F155" s="22"/>
      <c r="Q155">
        <f>IF(AND($E155="",COUNTA($C155:$D155,$F155)&gt;0),1,0)</f>
      </c>
    </row>
    <row r="156" spans="2:17" x14ac:dyDescent="0.25">
      <c r="B156" s="24">
        <v>6</v>
      </c>
      <c r="C156" s="22"/>
      <c r="D156" s="22"/>
      <c r="E156" s="22"/>
      <c r="F156" s="22"/>
      <c r="Q156">
        <f>IF(AND($E156="",COUNTA($C156:$D156,$F156)&gt;0),1,0)</f>
      </c>
    </row>
    <row r="157" spans="2:17" x14ac:dyDescent="0.25">
      <c r="B157" s="24">
        <v>7</v>
      </c>
      <c r="C157" s="22"/>
      <c r="D157" s="22"/>
      <c r="E157" s="22"/>
      <c r="F157" s="22"/>
      <c r="Q157">
        <f>IF(AND($E157="",COUNTA($C157:$D157,$F157)&gt;0),1,0)</f>
      </c>
    </row>
    <row r="158" spans="2:17" x14ac:dyDescent="0.25">
      <c r="B158" s="24">
        <v>8</v>
      </c>
      <c r="C158" s="22"/>
      <c r="D158" s="22"/>
      <c r="E158" s="22"/>
      <c r="F158" s="22"/>
      <c r="Q158">
        <f>IF(AND($E158="",COUNTA($C158:$D158,$F158)&gt;0),1,0)</f>
      </c>
    </row>
    <row r="160" spans="2:6" x14ac:dyDescent="0.25">
      <c r="B160" s="18" t="s">
        <v>44</v>
      </c>
      <c r="C160" s="19"/>
      <c r="D160" s="19"/>
      <c r="E160" s="5"/>
      <c r="F160" s="5"/>
    </row>
    <row r="161" ht="24" customHeight="1" spans="2:16" x14ac:dyDescent="0.25">
      <c r="B161" s="20" t="s">
        <v>65</v>
      </c>
      <c r="C161" s="21"/>
      <c r="D161" s="21"/>
      <c r="E161" s="21"/>
      <c r="F161" s="21"/>
      <c r="G161" s="4">
        <f>IFERROR(IF(AND($C$161="",$C$162=""),IF(COUNTA($C$160:$F$160,$E$163,$C$165:$F$172)+COUNTA($E$162,$C$163)&gt;0,"⚠ Pick an exercise for this card",""),IF(AND($C$161&lt;&gt;"",$C$162&lt;&gt;""),"⚠ Use the library OR a custom exercise, not both",IF(AND($C$162&lt;&gt;"",$E$162=""),"⚠ Pick a muscle group for the custom exercise",IF(COUNT($E$165:$E$172)=0,"⚠ Enter Goal Reps for at least one set",IF(SUM($Q$165:$Q$172)&gt;0,"⚠ A set is missing Goal Reps",IF(IF($C$163="",1=0,COUNTIF($P$7:$P$214,$C$163)&lt;2),"⚠ Superset "&amp;$C$163&amp;" needs 2+ exercises",IF($C$161&lt;&gt;"",IFERROR("✓ "&amp;INDEX('Exercise Library'!$C$2:$C$319,MATCH($C$161,'Exercise Library'!$B$2:$B$319,0))&amp;IF(INDEX('Exercise Library'!$D$2:$D$319,MATCH($C$161,'Exercise Library'!$B$2:$B$319,0))="Yes"," · demo video","")&amp;" · "&amp;COUNT($E$165:$E$172)&amp;" sets","⚠ Not in the library — use Custom"),"✓ Custom ("&amp;$E$162&amp;") · "&amp;COUNT($E$165:$E$172)&amp;" sets"))))))),"⚠ Check this row")</f>
      </c>
      <c r="P161">
        <f>IF(OR($C$161&lt;&gt;"",$C$162&lt;&gt;""),$C$163,"")</f>
      </c>
    </row>
    <row r="162" spans="2:6" x14ac:dyDescent="0.25">
      <c r="B162" s="18" t="s">
        <v>46</v>
      </c>
      <c r="C162" s="5"/>
      <c r="D162" s="5"/>
      <c r="E162" s="5"/>
      <c r="F162" s="18" t="s">
        <v>47</v>
      </c>
    </row>
    <row r="163" ht="22" customHeight="1" spans="2:6" x14ac:dyDescent="0.25">
      <c r="B163" s="18" t="s">
        <v>48</v>
      </c>
      <c r="C163" s="22"/>
      <c r="D163" s="18" t="s">
        <v>49</v>
      </c>
      <c r="E163" s="5"/>
      <c r="F163" s="5"/>
    </row>
    <row r="164" spans="2:6" x14ac:dyDescent="0.25">
      <c r="B164" s="23" t="s">
        <v>50</v>
      </c>
      <c r="C164" s="23" t="s">
        <v>51</v>
      </c>
      <c r="D164" s="23" t="s">
        <v>52</v>
      </c>
      <c r="E164" s="23" t="s">
        <v>53</v>
      </c>
      <c r="F164" s="23" t="s">
        <v>54</v>
      </c>
    </row>
    <row r="165" spans="2:17" x14ac:dyDescent="0.25">
      <c r="B165" s="24">
        <v>1</v>
      </c>
      <c r="C165" s="22"/>
      <c r="D165" s="22"/>
      <c r="E165" s="22"/>
      <c r="F165" s="22"/>
      <c r="Q165">
        <f>IF(AND($E165="",COUNTA($C165:$D165,$F165)&gt;0),1,0)</f>
      </c>
    </row>
    <row r="166" spans="2:17" x14ac:dyDescent="0.25">
      <c r="B166" s="24">
        <v>2</v>
      </c>
      <c r="C166" s="22"/>
      <c r="D166" s="22"/>
      <c r="E166" s="22"/>
      <c r="F166" s="22"/>
      <c r="Q166">
        <f>IF(AND($E166="",COUNTA($C166:$D166,$F166)&gt;0),1,0)</f>
      </c>
    </row>
    <row r="167" spans="2:17" x14ac:dyDescent="0.25">
      <c r="B167" s="24">
        <v>3</v>
      </c>
      <c r="C167" s="22"/>
      <c r="D167" s="22"/>
      <c r="E167" s="22"/>
      <c r="F167" s="22"/>
      <c r="Q167">
        <f>IF(AND($E167="",COUNTA($C167:$D167,$F167)&gt;0),1,0)</f>
      </c>
    </row>
    <row r="168" spans="2:17" x14ac:dyDescent="0.25">
      <c r="B168" s="24">
        <v>4</v>
      </c>
      <c r="C168" s="22"/>
      <c r="D168" s="22"/>
      <c r="E168" s="22"/>
      <c r="F168" s="22"/>
      <c r="Q168">
        <f>IF(AND($E168="",COUNTA($C168:$D168,$F168)&gt;0),1,0)</f>
      </c>
    </row>
    <row r="169" spans="2:17" x14ac:dyDescent="0.25">
      <c r="B169" s="24">
        <v>5</v>
      </c>
      <c r="C169" s="22"/>
      <c r="D169" s="22"/>
      <c r="E169" s="22"/>
      <c r="F169" s="22"/>
      <c r="Q169">
        <f>IF(AND($E169="",COUNTA($C169:$D169,$F169)&gt;0),1,0)</f>
      </c>
    </row>
    <row r="170" spans="2:17" x14ac:dyDescent="0.25">
      <c r="B170" s="24">
        <v>6</v>
      </c>
      <c r="C170" s="22"/>
      <c r="D170" s="22"/>
      <c r="E170" s="22"/>
      <c r="F170" s="22"/>
      <c r="Q170">
        <f>IF(AND($E170="",COUNTA($C170:$D170,$F170)&gt;0),1,0)</f>
      </c>
    </row>
    <row r="171" spans="2:17" x14ac:dyDescent="0.25">
      <c r="B171" s="24">
        <v>7</v>
      </c>
      <c r="C171" s="22"/>
      <c r="D171" s="22"/>
      <c r="E171" s="22"/>
      <c r="F171" s="22"/>
      <c r="Q171">
        <f>IF(AND($E171="",COUNTA($C171:$D171,$F171)&gt;0),1,0)</f>
      </c>
    </row>
    <row r="172" spans="2:17" x14ac:dyDescent="0.25">
      <c r="B172" s="24">
        <v>8</v>
      </c>
      <c r="C172" s="22"/>
      <c r="D172" s="22"/>
      <c r="E172" s="22"/>
      <c r="F172" s="22"/>
      <c r="Q172">
        <f>IF(AND($E172="",COUNTA($C172:$D172,$F172)&gt;0),1,0)</f>
      </c>
    </row>
    <row r="174" spans="2:6" x14ac:dyDescent="0.25">
      <c r="B174" s="18" t="s">
        <v>44</v>
      </c>
      <c r="C174" s="19"/>
      <c r="D174" s="19"/>
      <c r="E174" s="5"/>
      <c r="F174" s="5"/>
    </row>
    <row r="175" ht="24" customHeight="1" spans="2:16" x14ac:dyDescent="0.25">
      <c r="B175" s="20" t="s">
        <v>66</v>
      </c>
      <c r="C175" s="21"/>
      <c r="D175" s="21"/>
      <c r="E175" s="21"/>
      <c r="F175" s="21"/>
      <c r="G175" s="4">
        <f>IFERROR(IF(AND($C$175="",$C$176=""),IF(COUNTA($C$174:$F$174,$E$177,$C$179:$F$186)+COUNTA($E$176,$C$177)&gt;0,"⚠ Pick an exercise for this card",""),IF(AND($C$175&lt;&gt;"",$C$176&lt;&gt;""),"⚠ Use the library OR a custom exercise, not both",IF(AND($C$176&lt;&gt;"",$E$176=""),"⚠ Pick a muscle group for the custom exercise",IF(COUNT($E$179:$E$186)=0,"⚠ Enter Goal Reps for at least one set",IF(SUM($Q$179:$Q$186)&gt;0,"⚠ A set is missing Goal Reps",IF(IF($C$177="",1=0,COUNTIF($P$7:$P$214,$C$177)&lt;2),"⚠ Superset "&amp;$C$177&amp;" needs 2+ exercises",IF($C$175&lt;&gt;"",IFERROR("✓ "&amp;INDEX('Exercise Library'!$C$2:$C$319,MATCH($C$175,'Exercise Library'!$B$2:$B$319,0))&amp;IF(INDEX('Exercise Library'!$D$2:$D$319,MATCH($C$175,'Exercise Library'!$B$2:$B$319,0))="Yes"," · demo video","")&amp;" · "&amp;COUNT($E$179:$E$186)&amp;" sets","⚠ Not in the library — use Custom"),"✓ Custom ("&amp;$E$176&amp;") · "&amp;COUNT($E$179:$E$186)&amp;" sets"))))))),"⚠ Check this row")</f>
      </c>
      <c r="P175">
        <f>IF(OR($C$175&lt;&gt;"",$C$176&lt;&gt;""),$C$177,"")</f>
      </c>
    </row>
    <row r="176" spans="2:6" x14ac:dyDescent="0.25">
      <c r="B176" s="18" t="s">
        <v>46</v>
      </c>
      <c r="C176" s="5"/>
      <c r="D176" s="5"/>
      <c r="E176" s="5"/>
      <c r="F176" s="18" t="s">
        <v>47</v>
      </c>
    </row>
    <row r="177" ht="22" customHeight="1" spans="2:6" x14ac:dyDescent="0.25">
      <c r="B177" s="18" t="s">
        <v>48</v>
      </c>
      <c r="C177" s="22"/>
      <c r="D177" s="18" t="s">
        <v>49</v>
      </c>
      <c r="E177" s="5"/>
      <c r="F177" s="5"/>
    </row>
    <row r="178" spans="2:6" x14ac:dyDescent="0.25">
      <c r="B178" s="23" t="s">
        <v>50</v>
      </c>
      <c r="C178" s="23" t="s">
        <v>51</v>
      </c>
      <c r="D178" s="23" t="s">
        <v>52</v>
      </c>
      <c r="E178" s="23" t="s">
        <v>53</v>
      </c>
      <c r="F178" s="23" t="s">
        <v>54</v>
      </c>
    </row>
    <row r="179" spans="2:17" x14ac:dyDescent="0.25">
      <c r="B179" s="24">
        <v>1</v>
      </c>
      <c r="C179" s="22"/>
      <c r="D179" s="22"/>
      <c r="E179" s="22"/>
      <c r="F179" s="22"/>
      <c r="Q179">
        <f>IF(AND($E179="",COUNTA($C179:$D179,$F179)&gt;0),1,0)</f>
      </c>
    </row>
    <row r="180" spans="2:17" x14ac:dyDescent="0.25">
      <c r="B180" s="24">
        <v>2</v>
      </c>
      <c r="C180" s="22"/>
      <c r="D180" s="22"/>
      <c r="E180" s="22"/>
      <c r="F180" s="22"/>
      <c r="Q180">
        <f>IF(AND($E180="",COUNTA($C180:$D180,$F180)&gt;0),1,0)</f>
      </c>
    </row>
    <row r="181" spans="2:17" x14ac:dyDescent="0.25">
      <c r="B181" s="24">
        <v>3</v>
      </c>
      <c r="C181" s="22"/>
      <c r="D181" s="22"/>
      <c r="E181" s="22"/>
      <c r="F181" s="22"/>
      <c r="Q181">
        <f>IF(AND($E181="",COUNTA($C181:$D181,$F181)&gt;0),1,0)</f>
      </c>
    </row>
    <row r="182" spans="2:17" x14ac:dyDescent="0.25">
      <c r="B182" s="24">
        <v>4</v>
      </c>
      <c r="C182" s="22"/>
      <c r="D182" s="22"/>
      <c r="E182" s="22"/>
      <c r="F182" s="22"/>
      <c r="Q182">
        <f>IF(AND($E182="",COUNTA($C182:$D182,$F182)&gt;0),1,0)</f>
      </c>
    </row>
    <row r="183" spans="2:17" x14ac:dyDescent="0.25">
      <c r="B183" s="24">
        <v>5</v>
      </c>
      <c r="C183" s="22"/>
      <c r="D183" s="22"/>
      <c r="E183" s="22"/>
      <c r="F183" s="22"/>
      <c r="Q183">
        <f>IF(AND($E183="",COUNTA($C183:$D183,$F183)&gt;0),1,0)</f>
      </c>
    </row>
    <row r="184" spans="2:17" x14ac:dyDescent="0.25">
      <c r="B184" s="24">
        <v>6</v>
      </c>
      <c r="C184" s="22"/>
      <c r="D184" s="22"/>
      <c r="E184" s="22"/>
      <c r="F184" s="22"/>
      <c r="Q184">
        <f>IF(AND($E184="",COUNTA($C184:$D184,$F184)&gt;0),1,0)</f>
      </c>
    </row>
    <row r="185" spans="2:17" x14ac:dyDescent="0.25">
      <c r="B185" s="24">
        <v>7</v>
      </c>
      <c r="C185" s="22"/>
      <c r="D185" s="22"/>
      <c r="E185" s="22"/>
      <c r="F185" s="22"/>
      <c r="Q185">
        <f>IF(AND($E185="",COUNTA($C185:$D185,$F185)&gt;0),1,0)</f>
      </c>
    </row>
    <row r="186" spans="2:17" x14ac:dyDescent="0.25">
      <c r="B186" s="24">
        <v>8</v>
      </c>
      <c r="C186" s="22"/>
      <c r="D186" s="22"/>
      <c r="E186" s="22"/>
      <c r="F186" s="22"/>
      <c r="Q186">
        <f>IF(AND($E186="",COUNTA($C186:$D186,$F186)&gt;0),1,0)</f>
      </c>
    </row>
    <row r="188" spans="2:6" x14ac:dyDescent="0.25">
      <c r="B188" s="18" t="s">
        <v>44</v>
      </c>
      <c r="C188" s="19"/>
      <c r="D188" s="19"/>
      <c r="E188" s="5"/>
      <c r="F188" s="5"/>
    </row>
    <row r="189" ht="24" customHeight="1" spans="2:16" x14ac:dyDescent="0.25">
      <c r="B189" s="20" t="s">
        <v>67</v>
      </c>
      <c r="C189" s="21"/>
      <c r="D189" s="21"/>
      <c r="E189" s="21"/>
      <c r="F189" s="21"/>
      <c r="G189" s="4">
        <f>IFERROR(IF(AND($C$189="",$C$190=""),IF(COUNTA($C$188:$F$188,$E$191,$C$193:$F$200)+COUNTA($E$190,$C$191)&gt;0,"⚠ Pick an exercise for this card",""),IF(AND($C$189&lt;&gt;"",$C$190&lt;&gt;""),"⚠ Use the library OR a custom exercise, not both",IF(AND($C$190&lt;&gt;"",$E$190=""),"⚠ Pick a muscle group for the custom exercise",IF(COUNT($E$193:$E$200)=0,"⚠ Enter Goal Reps for at least one set",IF(SUM($Q$193:$Q$200)&gt;0,"⚠ A set is missing Goal Reps",IF(IF($C$191="",1=0,COUNTIF($P$7:$P$214,$C$191)&lt;2),"⚠ Superset "&amp;$C$191&amp;" needs 2+ exercises",IF($C$189&lt;&gt;"",IFERROR("✓ "&amp;INDEX('Exercise Library'!$C$2:$C$319,MATCH($C$189,'Exercise Library'!$B$2:$B$319,0))&amp;IF(INDEX('Exercise Library'!$D$2:$D$319,MATCH($C$189,'Exercise Library'!$B$2:$B$319,0))="Yes"," · demo video","")&amp;" · "&amp;COUNT($E$193:$E$200)&amp;" sets","⚠ Not in the library — use Custom"),"✓ Custom ("&amp;$E$190&amp;") · "&amp;COUNT($E$193:$E$200)&amp;" sets"))))))),"⚠ Check this row")</f>
      </c>
      <c r="P189">
        <f>IF(OR($C$189&lt;&gt;"",$C$190&lt;&gt;""),$C$191,"")</f>
      </c>
    </row>
    <row r="190" spans="2:6" x14ac:dyDescent="0.25">
      <c r="B190" s="18" t="s">
        <v>46</v>
      </c>
      <c r="C190" s="5"/>
      <c r="D190" s="5"/>
      <c r="E190" s="5"/>
      <c r="F190" s="18" t="s">
        <v>47</v>
      </c>
    </row>
    <row r="191" ht="22" customHeight="1" spans="2:6" x14ac:dyDescent="0.25">
      <c r="B191" s="18" t="s">
        <v>48</v>
      </c>
      <c r="C191" s="22"/>
      <c r="D191" s="18" t="s">
        <v>49</v>
      </c>
      <c r="E191" s="5"/>
      <c r="F191" s="5"/>
    </row>
    <row r="192" spans="2:6" x14ac:dyDescent="0.25">
      <c r="B192" s="23" t="s">
        <v>50</v>
      </c>
      <c r="C192" s="23" t="s">
        <v>51</v>
      </c>
      <c r="D192" s="23" t="s">
        <v>52</v>
      </c>
      <c r="E192" s="23" t="s">
        <v>53</v>
      </c>
      <c r="F192" s="23" t="s">
        <v>54</v>
      </c>
    </row>
    <row r="193" spans="2:17" x14ac:dyDescent="0.25">
      <c r="B193" s="24">
        <v>1</v>
      </c>
      <c r="C193" s="22"/>
      <c r="D193" s="22"/>
      <c r="E193" s="22"/>
      <c r="F193" s="22"/>
      <c r="Q193">
        <f>IF(AND($E193="",COUNTA($C193:$D193,$F193)&gt;0),1,0)</f>
      </c>
    </row>
    <row r="194" spans="2:17" x14ac:dyDescent="0.25">
      <c r="B194" s="24">
        <v>2</v>
      </c>
      <c r="C194" s="22"/>
      <c r="D194" s="22"/>
      <c r="E194" s="22"/>
      <c r="F194" s="22"/>
      <c r="Q194">
        <f>IF(AND($E194="",COUNTA($C194:$D194,$F194)&gt;0),1,0)</f>
      </c>
    </row>
    <row r="195" spans="2:17" x14ac:dyDescent="0.25">
      <c r="B195" s="24">
        <v>3</v>
      </c>
      <c r="C195" s="22"/>
      <c r="D195" s="22"/>
      <c r="E195" s="22"/>
      <c r="F195" s="22"/>
      <c r="Q195">
        <f>IF(AND($E195="",COUNTA($C195:$D195,$F195)&gt;0),1,0)</f>
      </c>
    </row>
    <row r="196" spans="2:17" x14ac:dyDescent="0.25">
      <c r="B196" s="24">
        <v>4</v>
      </c>
      <c r="C196" s="22"/>
      <c r="D196" s="22"/>
      <c r="E196" s="22"/>
      <c r="F196" s="22"/>
      <c r="Q196">
        <f>IF(AND($E196="",COUNTA($C196:$D196,$F196)&gt;0),1,0)</f>
      </c>
    </row>
    <row r="197" spans="2:17" x14ac:dyDescent="0.25">
      <c r="B197" s="24">
        <v>5</v>
      </c>
      <c r="C197" s="22"/>
      <c r="D197" s="22"/>
      <c r="E197" s="22"/>
      <c r="F197" s="22"/>
      <c r="Q197">
        <f>IF(AND($E197="",COUNTA($C197:$D197,$F197)&gt;0),1,0)</f>
      </c>
    </row>
    <row r="198" spans="2:17" x14ac:dyDescent="0.25">
      <c r="B198" s="24">
        <v>6</v>
      </c>
      <c r="C198" s="22"/>
      <c r="D198" s="22"/>
      <c r="E198" s="22"/>
      <c r="F198" s="22"/>
      <c r="Q198">
        <f>IF(AND($E198="",COUNTA($C198:$D198,$F198)&gt;0),1,0)</f>
      </c>
    </row>
    <row r="199" spans="2:17" x14ac:dyDescent="0.25">
      <c r="B199" s="24">
        <v>7</v>
      </c>
      <c r="C199" s="22"/>
      <c r="D199" s="22"/>
      <c r="E199" s="22"/>
      <c r="F199" s="22"/>
      <c r="Q199">
        <f>IF(AND($E199="",COUNTA($C199:$D199,$F199)&gt;0),1,0)</f>
      </c>
    </row>
    <row r="200" spans="2:17" x14ac:dyDescent="0.25">
      <c r="B200" s="24">
        <v>8</v>
      </c>
      <c r="C200" s="22"/>
      <c r="D200" s="22"/>
      <c r="E200" s="22"/>
      <c r="F200" s="22"/>
      <c r="Q200">
        <f>IF(AND($E200="",COUNTA($C200:$D200,$F200)&gt;0),1,0)</f>
      </c>
    </row>
    <row r="202" spans="2:6" x14ac:dyDescent="0.25">
      <c r="B202" s="18" t="s">
        <v>44</v>
      </c>
      <c r="C202" s="19"/>
      <c r="D202" s="19"/>
      <c r="E202" s="5"/>
      <c r="F202" s="5"/>
    </row>
    <row r="203" ht="24" customHeight="1" spans="2:16" x14ac:dyDescent="0.25">
      <c r="B203" s="20" t="s">
        <v>68</v>
      </c>
      <c r="C203" s="21"/>
      <c r="D203" s="21"/>
      <c r="E203" s="21"/>
      <c r="F203" s="21"/>
      <c r="G203" s="4">
        <f>IFERROR(IF(AND($C$203="",$C$204=""),IF(COUNTA($C$202:$F$202,$E$205,$C$207:$F$214)+COUNTA($E$204,$C$205)&gt;0,"⚠ Pick an exercise for this card",""),IF(AND($C$203&lt;&gt;"",$C$204&lt;&gt;""),"⚠ Use the library OR a custom exercise, not both",IF(AND($C$204&lt;&gt;"",$E$204=""),"⚠ Pick a muscle group for the custom exercise",IF(COUNT($E$207:$E$214)=0,"⚠ Enter Goal Reps for at least one set",IF(SUM($Q$207:$Q$214)&gt;0,"⚠ A set is missing Goal Reps",IF(IF($C$205="",1=0,COUNTIF($P$7:$P$214,$C$205)&lt;2),"⚠ Superset "&amp;$C$205&amp;" needs 2+ exercises",IF($C$203&lt;&gt;"",IFERROR("✓ "&amp;INDEX('Exercise Library'!$C$2:$C$319,MATCH($C$203,'Exercise Library'!$B$2:$B$319,0))&amp;IF(INDEX('Exercise Library'!$D$2:$D$319,MATCH($C$203,'Exercise Library'!$B$2:$B$319,0))="Yes"," · demo video","")&amp;" · "&amp;COUNT($E$207:$E$214)&amp;" sets","⚠ Not in the library — use Custom"),"✓ Custom ("&amp;$E$204&amp;") · "&amp;COUNT($E$207:$E$214)&amp;" sets"))))))),"⚠ Check this row")</f>
      </c>
      <c r="P203">
        <f>IF(OR($C$203&lt;&gt;"",$C$204&lt;&gt;""),$C$205,"")</f>
      </c>
    </row>
    <row r="204" spans="2:6" x14ac:dyDescent="0.25">
      <c r="B204" s="18" t="s">
        <v>46</v>
      </c>
      <c r="C204" s="5"/>
      <c r="D204" s="5"/>
      <c r="E204" s="5"/>
      <c r="F204" s="18" t="s">
        <v>47</v>
      </c>
    </row>
    <row r="205" ht="22" customHeight="1" spans="2:6" x14ac:dyDescent="0.25">
      <c r="B205" s="18" t="s">
        <v>48</v>
      </c>
      <c r="C205" s="22"/>
      <c r="D205" s="18" t="s">
        <v>49</v>
      </c>
      <c r="E205" s="5"/>
      <c r="F205" s="5"/>
    </row>
    <row r="206" spans="2:6" x14ac:dyDescent="0.25">
      <c r="B206" s="23" t="s">
        <v>50</v>
      </c>
      <c r="C206" s="23" t="s">
        <v>51</v>
      </c>
      <c r="D206" s="23" t="s">
        <v>52</v>
      </c>
      <c r="E206" s="23" t="s">
        <v>53</v>
      </c>
      <c r="F206" s="23" t="s">
        <v>54</v>
      </c>
    </row>
    <row r="207" spans="2:17" x14ac:dyDescent="0.25">
      <c r="B207" s="24">
        <v>1</v>
      </c>
      <c r="C207" s="22"/>
      <c r="D207" s="22"/>
      <c r="E207" s="22"/>
      <c r="F207" s="22"/>
      <c r="Q207">
        <f>IF(AND($E207="",COUNTA($C207:$D207,$F207)&gt;0),1,0)</f>
      </c>
    </row>
    <row r="208" spans="2:17" x14ac:dyDescent="0.25">
      <c r="B208" s="24">
        <v>2</v>
      </c>
      <c r="C208" s="22"/>
      <c r="D208" s="22"/>
      <c r="E208" s="22"/>
      <c r="F208" s="22"/>
      <c r="Q208">
        <f>IF(AND($E208="",COUNTA($C208:$D208,$F208)&gt;0),1,0)</f>
      </c>
    </row>
    <row r="209" spans="2:17" x14ac:dyDescent="0.25">
      <c r="B209" s="24">
        <v>3</v>
      </c>
      <c r="C209" s="22"/>
      <c r="D209" s="22"/>
      <c r="E209" s="22"/>
      <c r="F209" s="22"/>
      <c r="Q209">
        <f>IF(AND($E209="",COUNTA($C209:$D209,$F209)&gt;0),1,0)</f>
      </c>
    </row>
    <row r="210" spans="2:17" x14ac:dyDescent="0.25">
      <c r="B210" s="24">
        <v>4</v>
      </c>
      <c r="C210" s="22"/>
      <c r="D210" s="22"/>
      <c r="E210" s="22"/>
      <c r="F210" s="22"/>
      <c r="Q210">
        <f>IF(AND($E210="",COUNTA($C210:$D210,$F210)&gt;0),1,0)</f>
      </c>
    </row>
    <row r="211" spans="2:17" x14ac:dyDescent="0.25">
      <c r="B211" s="24">
        <v>5</v>
      </c>
      <c r="C211" s="22"/>
      <c r="D211" s="22"/>
      <c r="E211" s="22"/>
      <c r="F211" s="22"/>
      <c r="Q211">
        <f>IF(AND($E211="",COUNTA($C211:$D211,$F211)&gt;0),1,0)</f>
      </c>
    </row>
    <row r="212" spans="2:17" x14ac:dyDescent="0.25">
      <c r="B212" s="24">
        <v>6</v>
      </c>
      <c r="C212" s="22"/>
      <c r="D212" s="22"/>
      <c r="E212" s="22"/>
      <c r="F212" s="22"/>
      <c r="Q212">
        <f>IF(AND($E212="",COUNTA($C212:$D212,$F212)&gt;0),1,0)</f>
      </c>
    </row>
    <row r="213" spans="2:17" x14ac:dyDescent="0.25">
      <c r="B213" s="24">
        <v>7</v>
      </c>
      <c r="C213" s="22"/>
      <c r="D213" s="22"/>
      <c r="E213" s="22"/>
      <c r="F213" s="22"/>
      <c r="Q213">
        <f>IF(AND($E213="",COUNTA($C213:$D213,$F213)&gt;0),1,0)</f>
      </c>
    </row>
    <row r="214" spans="2:17" x14ac:dyDescent="0.25">
      <c r="B214" s="24">
        <v>8</v>
      </c>
      <c r="C214" s="22"/>
      <c r="D214" s="22"/>
      <c r="E214" s="22"/>
      <c r="F214" s="22"/>
      <c r="Q214">
        <f>IF(AND($E214="",COUNTA($C214:$D214,$F214)&gt;0),1,0)</f>
      </c>
    </row>
  </sheetData>
  <mergeCells count="78">
    <mergeCell ref="A1:G1"/>
    <mergeCell ref="C3:F3"/>
    <mergeCell ref="C4:F4"/>
    <mergeCell ref="C6:D6"/>
    <mergeCell ref="E6:F6"/>
    <mergeCell ref="C7:F7"/>
    <mergeCell ref="C8:D8"/>
    <mergeCell ref="E9:F9"/>
    <mergeCell ref="C20:D20"/>
    <mergeCell ref="E20:F20"/>
    <mergeCell ref="C21:F21"/>
    <mergeCell ref="C22:D22"/>
    <mergeCell ref="E23:F23"/>
    <mergeCell ref="C34:D34"/>
    <mergeCell ref="E34:F34"/>
    <mergeCell ref="C35:F35"/>
    <mergeCell ref="C36:D36"/>
    <mergeCell ref="E37:F37"/>
    <mergeCell ref="C48:D48"/>
    <mergeCell ref="E48:F48"/>
    <mergeCell ref="C49:F49"/>
    <mergeCell ref="C50:D50"/>
    <mergeCell ref="E51:F51"/>
    <mergeCell ref="C62:D62"/>
    <mergeCell ref="E62:F62"/>
    <mergeCell ref="C63:F63"/>
    <mergeCell ref="C64:D64"/>
    <mergeCell ref="E65:F65"/>
    <mergeCell ref="C76:D76"/>
    <mergeCell ref="E76:F76"/>
    <mergeCell ref="C77:F77"/>
    <mergeCell ref="C78:D78"/>
    <mergeCell ref="E79:F79"/>
    <mergeCell ref="C90:D90"/>
    <mergeCell ref="E90:F90"/>
    <mergeCell ref="C91:F91"/>
    <mergeCell ref="C92:D92"/>
    <mergeCell ref="E93:F93"/>
    <mergeCell ref="C104:D104"/>
    <mergeCell ref="E104:F104"/>
    <mergeCell ref="C105:F105"/>
    <mergeCell ref="C106:D106"/>
    <mergeCell ref="E107:F107"/>
    <mergeCell ref="C118:D118"/>
    <mergeCell ref="E118:F118"/>
    <mergeCell ref="C119:F119"/>
    <mergeCell ref="C120:D120"/>
    <mergeCell ref="E121:F121"/>
    <mergeCell ref="C132:D132"/>
    <mergeCell ref="E132:F132"/>
    <mergeCell ref="C133:F133"/>
    <mergeCell ref="C134:D134"/>
    <mergeCell ref="E135:F135"/>
    <mergeCell ref="C146:D146"/>
    <mergeCell ref="E146:F146"/>
    <mergeCell ref="C147:F147"/>
    <mergeCell ref="C148:D148"/>
    <mergeCell ref="E149:F149"/>
    <mergeCell ref="C160:D160"/>
    <mergeCell ref="E160:F160"/>
    <mergeCell ref="C161:F161"/>
    <mergeCell ref="C162:D162"/>
    <mergeCell ref="E163:F163"/>
    <mergeCell ref="C174:D174"/>
    <mergeCell ref="E174:F174"/>
    <mergeCell ref="C175:F175"/>
    <mergeCell ref="C176:D176"/>
    <mergeCell ref="E177:F177"/>
    <mergeCell ref="C188:D188"/>
    <mergeCell ref="E188:F188"/>
    <mergeCell ref="C189:F189"/>
    <mergeCell ref="C190:D190"/>
    <mergeCell ref="E191:F191"/>
    <mergeCell ref="C202:D202"/>
    <mergeCell ref="E202:F202"/>
    <mergeCell ref="C203:F203"/>
    <mergeCell ref="C204:D204"/>
    <mergeCell ref="E205:F205"/>
  </mergeCells>
  <conditionalFormatting sqref="A1:G1">
    <cfRule type="expression" dxfId="39" priority="1">
      <formula>$O$1="FILL"</formula>
    </cfRule>
    <cfRule type="expression" dxfId="40" priority="2">
      <formula>$O$1="SKIP"</formula>
    </cfRule>
    <cfRule type="expression" dxfId="41" priority="3">
      <formula>$O$1=""</formula>
    </cfRule>
  </conditionalFormatting>
  <conditionalFormatting sqref="G3:G214">
    <cfRule type="expression" dxfId="42" priority="1">
      <formula>LEFT(G3,1)="⚠"</formula>
    </cfRule>
    <cfRule type="expression" dxfId="43" priority="2">
      <formula>LEFT(G3,1)="✓"</formula>
    </cfRule>
  </conditionalFormatting>
  <conditionalFormatting sqref="C3:F214">
    <cfRule type="expression" dxfId="44" priority="1">
      <formula>$O$1="SKIP"</formula>
    </cfRule>
  </conditionalFormatting>
  <dataValidations count="121">
    <dataValidation type="list" allowBlank="1" showInputMessage="1" prompt="Pick from the RepLab exercise library (type to search). Library exercises come with demo videos." showErrorMessage="1" errorStyle="stop" errorTitle="Pick from the list" error="Choose one of the options in the dropdown." sqref="C105">
      <formula1>'Exercise Library'!$B$2:$B$319</formula1>
    </dataValidation>
    <dataValidation type="textLength" operator="lessThanOrEqual" allowBlank="1" showErrorMessage="1" error="200 characters or fewer." sqref="C106">
      <formula1>200</formula1>
    </dataValidation>
    <dataValidation type="list" allowBlank="1" showInputMessage="1" prompt="Same letter = same superset" showErrorMessage="1" errorStyle="stop" errorTitle="Pick from the list" error="Choose one of the options in the dropdown." sqref="C107">
      <formula1>Lists!$E$2:$E$11</formula1>
    </dataValidation>
    <dataValidation type="list" allowBlank="1" showErrorMessage="1" errorStyle="stop" errorTitle="Pick from the list" error="Choose one of the options in the dropdown." sqref="C109:C11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19">
      <formula1>'Exercise Library'!$B$2:$B$319</formula1>
    </dataValidation>
    <dataValidation type="list" allowBlank="1" showErrorMessage="1" errorStyle="stop" errorTitle="Pick from the list" error="Choose one of the options in the dropdown." sqref="C11:C18">
      <formula1>Lists!$B$2:$B$9</formula1>
    </dataValidation>
    <dataValidation type="textLength" operator="lessThanOrEqual" allowBlank="1" showErrorMessage="1" error="200 characters or fewer." sqref="C120">
      <formula1>200</formula1>
    </dataValidation>
    <dataValidation type="list" allowBlank="1" showInputMessage="1" prompt="Same letter = same superset" showErrorMessage="1" errorStyle="stop" errorTitle="Pick from the list" error="Choose one of the options in the dropdown." sqref="C121">
      <formula1>Lists!$E$2:$E$11</formula1>
    </dataValidation>
    <dataValidation type="list" allowBlank="1" showErrorMessage="1" errorStyle="stop" errorTitle="Pick from the list" error="Choose one of the options in the dropdown." sqref="C123:C13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33">
      <formula1>'Exercise Library'!$B$2:$B$319</formula1>
    </dataValidation>
    <dataValidation type="textLength" operator="lessThanOrEqual" allowBlank="1" showErrorMessage="1" error="200 characters or fewer." sqref="C134">
      <formula1>200</formula1>
    </dataValidation>
    <dataValidation type="list" allowBlank="1" showInputMessage="1" prompt="Same letter = same superset" showErrorMessage="1" errorStyle="stop" errorTitle="Pick from the list" error="Choose one of the options in the dropdown." sqref="C135">
      <formula1>Lists!$E$2:$E$11</formula1>
    </dataValidation>
    <dataValidation type="list" allowBlank="1" showErrorMessage="1" errorStyle="stop" errorTitle="Pick from the list" error="Choose one of the options in the dropdown." sqref="C137:C14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47">
      <formula1>'Exercise Library'!$B$2:$B$319</formula1>
    </dataValidation>
    <dataValidation type="textLength" operator="lessThanOrEqual" allowBlank="1" showErrorMessage="1" error="200 characters or fewer." sqref="C148">
      <formula1>200</formula1>
    </dataValidation>
    <dataValidation type="list" allowBlank="1" showInputMessage="1" prompt="Same letter = same superset" showErrorMessage="1" errorStyle="stop" errorTitle="Pick from the list" error="Choose one of the options in the dropdown." sqref="C149">
      <formula1>Lists!$E$2:$E$11</formula1>
    </dataValidation>
    <dataValidation type="list" allowBlank="1" showErrorMessage="1" errorStyle="stop" errorTitle="Pick from the list" error="Choose one of the options in the dropdown." sqref="C151:C158">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61">
      <formula1>'Exercise Library'!$B$2:$B$319</formula1>
    </dataValidation>
    <dataValidation type="textLength" operator="lessThanOrEqual" allowBlank="1" showErrorMessage="1" error="200 characters or fewer." sqref="C162">
      <formula1>200</formula1>
    </dataValidation>
    <dataValidation type="list" allowBlank="1" showInputMessage="1" prompt="Same letter = same superset" showErrorMessage="1" errorStyle="stop" errorTitle="Pick from the list" error="Choose one of the options in the dropdown." sqref="C163">
      <formula1>Lists!$E$2:$E$11</formula1>
    </dataValidation>
    <dataValidation type="list" allowBlank="1" showErrorMessage="1" errorStyle="stop" errorTitle="Pick from the list" error="Choose one of the options in the dropdown." sqref="C165:C172">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75">
      <formula1>'Exercise Library'!$B$2:$B$319</formula1>
    </dataValidation>
    <dataValidation type="textLength" operator="lessThanOrEqual" allowBlank="1" showErrorMessage="1" error="200 characters or fewer." sqref="C176">
      <formula1>200</formula1>
    </dataValidation>
    <dataValidation type="list" allowBlank="1" showInputMessage="1" prompt="Same letter = same superset" showErrorMessage="1" errorStyle="stop" errorTitle="Pick from the list" error="Choose one of the options in the dropdown." sqref="C177">
      <formula1>Lists!$E$2:$E$11</formula1>
    </dataValidation>
    <dataValidation type="list" allowBlank="1" showErrorMessage="1" errorStyle="stop" errorTitle="Pick from the list" error="Choose one of the options in the dropdown." sqref="C179:C18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89">
      <formula1>'Exercise Library'!$B$2:$B$319</formula1>
    </dataValidation>
    <dataValidation type="textLength" operator="lessThanOrEqual" allowBlank="1" showErrorMessage="1" error="200 characters or fewer." sqref="C190">
      <formula1>200</formula1>
    </dataValidation>
    <dataValidation type="list" allowBlank="1" showInputMessage="1" prompt="Same letter = same superset" showErrorMessage="1" errorStyle="stop" errorTitle="Pick from the list" error="Choose one of the options in the dropdown." sqref="C191">
      <formula1>Lists!$E$2:$E$11</formula1>
    </dataValidation>
    <dataValidation type="list" allowBlank="1" showErrorMessage="1" errorStyle="stop" errorTitle="Pick from the list" error="Choose one of the options in the dropdown." sqref="C193:C20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03">
      <formula1>'Exercise Library'!$B$2:$B$319</formula1>
    </dataValidation>
    <dataValidation type="textLength" operator="lessThanOrEqual" allowBlank="1" showErrorMessage="1" error="200 characters or fewer." sqref="C204">
      <formula1>200</formula1>
    </dataValidation>
    <dataValidation type="list" allowBlank="1" showInputMessage="1" prompt="Same letter = same superset" showErrorMessage="1" errorStyle="stop" errorTitle="Pick from the list" error="Choose one of the options in the dropdown." sqref="C205">
      <formula1>Lists!$E$2:$E$11</formula1>
    </dataValidation>
    <dataValidation type="list" allowBlank="1" showErrorMessage="1" errorStyle="stop" errorTitle="Pick from the list" error="Choose one of the options in the dropdown." sqref="C207:C21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1">
      <formula1>'Exercise Library'!$B$2:$B$319</formula1>
    </dataValidation>
    <dataValidation type="textLength" operator="lessThanOrEqual" allowBlank="1" showErrorMessage="1" error="200 characters or fewer." sqref="C22">
      <formula1>200</formula1>
    </dataValidation>
    <dataValidation type="list" allowBlank="1" showInputMessage="1" prompt="Same letter = same superset" showErrorMessage="1" errorStyle="stop" errorTitle="Pick from the list" error="Choose one of the options in the dropdown." sqref="C23">
      <formula1>Lists!$E$2:$E$11</formula1>
    </dataValidation>
    <dataValidation type="list" allowBlank="1" showErrorMessage="1" errorStyle="stop" errorTitle="Pick from the list" error="Choose one of the options in the dropdown." sqref="C25:C32">
      <formula1>Lists!$B$2:$B$9</formula1>
    </dataValidation>
    <dataValidation type="textLength" operator="lessThanOrEqual" allowBlank="1" showErrorMessage="1" error="200 characters or fewer." sqref="C3">
      <formula1>200</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35">
      <formula1>'Exercise Library'!$B$2:$B$319</formula1>
    </dataValidation>
    <dataValidation type="textLength" operator="lessThanOrEqual" allowBlank="1" showErrorMessage="1" error="200 characters or fewer." sqref="C36">
      <formula1>200</formula1>
    </dataValidation>
    <dataValidation type="list" allowBlank="1" showInputMessage="1" prompt="Same letter = same superset" showErrorMessage="1" errorStyle="stop" errorTitle="Pick from the list" error="Choose one of the options in the dropdown." sqref="C37">
      <formula1>Lists!$E$2:$E$11</formula1>
    </dataValidation>
    <dataValidation type="list" allowBlank="1" showErrorMessage="1" errorStyle="stop" errorTitle="Pick from the list" error="Choose one of the options in the dropdown." sqref="C39:C4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49">
      <formula1>'Exercise Library'!$B$2:$B$319</formula1>
    </dataValidation>
    <dataValidation type="textLength" operator="lessThanOrEqual" allowBlank="1" showErrorMessage="1" error="200 characters or fewer." sqref="C50">
      <formula1>200</formula1>
    </dataValidation>
    <dataValidation type="list" allowBlank="1" showInputMessage="1" prompt="Same letter = same superset" showErrorMessage="1" errorStyle="stop" errorTitle="Pick from the list" error="Choose one of the options in the dropdown." sqref="C51">
      <formula1>Lists!$E$2:$E$11</formula1>
    </dataValidation>
    <dataValidation type="list" allowBlank="1" showErrorMessage="1" errorStyle="stop" errorTitle="Pick from the list" error="Choose one of the options in the dropdown." sqref="C53:C6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63">
      <formula1>'Exercise Library'!$B$2:$B$319</formula1>
    </dataValidation>
    <dataValidation type="textLength" operator="lessThanOrEqual" allowBlank="1" showErrorMessage="1" error="200 characters or fewer." sqref="C64">
      <formula1>200</formula1>
    </dataValidation>
    <dataValidation type="list" allowBlank="1" showInputMessage="1" prompt="Same letter = same superset" showErrorMessage="1" errorStyle="stop" errorTitle="Pick from the list" error="Choose one of the options in the dropdown." sqref="C65">
      <formula1>Lists!$E$2:$E$11</formula1>
    </dataValidation>
    <dataValidation type="list" allowBlank="1" showErrorMessage="1" errorStyle="stop" errorTitle="Pick from the list" error="Choose one of the options in the dropdown." sqref="C67:C7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
      <formula1>'Exercise Library'!$B$2:$B$319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7">
      <formula1>'Exercise Library'!$B$2:$B$319</formula1>
    </dataValidation>
    <dataValidation type="textLength" operator="lessThanOrEqual" allowBlank="1" showErrorMessage="1" error="200 characters or fewer." sqref="C78">
      <formula1>200</formula1>
    </dataValidation>
    <dataValidation type="list" allowBlank="1" showInputMessage="1" prompt="Same letter = same superset" showErrorMessage="1" errorStyle="stop" errorTitle="Pick from the list" error="Choose one of the options in the dropdown." sqref="C79">
      <formula1>Lists!$E$2:$E$11</formula1>
    </dataValidation>
    <dataValidation type="textLength" operator="lessThanOrEqual" allowBlank="1" showErrorMessage="1" error="200 characters or fewer." sqref="C8">
      <formula1>200</formula1>
    </dataValidation>
    <dataValidation type="list" allowBlank="1" showErrorMessage="1" errorStyle="stop" errorTitle="Pick from the list" error="Choose one of the options in the dropdown." sqref="C81:C88">
      <formula1>Lists!$B$2:$B$9</formula1>
    </dataValidation>
    <dataValidation type="list" allowBlank="1" showInputMessage="1" prompt="Same letter = same superset" showErrorMessage="1" errorStyle="stop" errorTitle="Pick from the list" error="Choose one of the options in the dropdown." sqref="C9">
      <formula1>Lists!$E$2:$E$11</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91">
      <formula1>'Exercise Library'!$B$2:$B$319</formula1>
    </dataValidation>
    <dataValidation type="textLength" operator="lessThanOrEqual" allowBlank="1" showErrorMessage="1" error="200 characters or fewer." sqref="C92">
      <formula1>200</formula1>
    </dataValidation>
    <dataValidation type="list" allowBlank="1" showInputMessage="1" prompt="Same letter = same superset" showErrorMessage="1" errorStyle="stop" errorTitle="Pick from the list" error="Choose one of the options in the dropdown." sqref="C93">
      <formula1>Lists!$E$2:$E$11</formula1>
    </dataValidation>
    <dataValidation type="list" allowBlank="1" showErrorMessage="1" errorStyle="stop" errorTitle="Pick from the list" error="Choose one of the options in the dropdown." sqref="C95:C102">
      <formula1>Lists!$B$2:$B$9</formula1>
    </dataValidation>
    <dataValidation type="decimal" allowBlank="1" showErrorMessage="1" error="Goal weight: a number from 0 to 2000 (lbs)." sqref="D109:D116">
      <formula1>0</formula1>
      <formula2>2000</formula2>
    </dataValidation>
    <dataValidation type="decimal" allowBlank="1" showErrorMessage="1" error="Goal weight: a number from 0 to 2000 (lbs)." sqref="D11:D18">
      <formula1>0</formula1>
      <formula2>2000</formula2>
    </dataValidation>
    <dataValidation type="decimal" allowBlank="1" showErrorMessage="1" error="Goal weight: a number from 0 to 2000 (lbs)." sqref="D123:D130">
      <formula1>0</formula1>
      <formula2>2000</formula2>
    </dataValidation>
    <dataValidation type="decimal" allowBlank="1" showErrorMessage="1" error="Goal weight: a number from 0 to 2000 (lbs)." sqref="D137:D144">
      <formula1>0</formula1>
      <formula2>2000</formula2>
    </dataValidation>
    <dataValidation type="decimal" allowBlank="1" showErrorMessage="1" error="Goal weight: a number from 0 to 2000 (lbs)." sqref="D151:D158">
      <formula1>0</formula1>
      <formula2>2000</formula2>
    </dataValidation>
    <dataValidation type="decimal" allowBlank="1" showErrorMessage="1" error="Goal weight: a number from 0 to 2000 (lbs)." sqref="D165:D172">
      <formula1>0</formula1>
      <formula2>2000</formula2>
    </dataValidation>
    <dataValidation type="decimal" allowBlank="1" showErrorMessage="1" error="Goal weight: a number from 0 to 2000 (lbs)." sqref="D179:D186">
      <formula1>0</formula1>
      <formula2>2000</formula2>
    </dataValidation>
    <dataValidation type="decimal" allowBlank="1" showErrorMessage="1" error="Goal weight: a number from 0 to 2000 (lbs)." sqref="D193:D200">
      <formula1>0</formula1>
      <formula2>2000</formula2>
    </dataValidation>
    <dataValidation type="decimal" allowBlank="1" showErrorMessage="1" error="Goal weight: a number from 0 to 2000 (lbs)." sqref="D207:D214">
      <formula1>0</formula1>
      <formula2>2000</formula2>
    </dataValidation>
    <dataValidation type="decimal" allowBlank="1" showErrorMessage="1" error="Goal weight: a number from 0 to 2000 (lbs)." sqref="D25:D32">
      <formula1>0</formula1>
      <formula2>2000</formula2>
    </dataValidation>
    <dataValidation type="decimal" allowBlank="1" showErrorMessage="1" error="Goal weight: a number from 0 to 2000 (lbs)." sqref="D39:D46">
      <formula1>0</formula1>
      <formula2>2000</formula2>
    </dataValidation>
    <dataValidation type="decimal" allowBlank="1" showErrorMessage="1" error="Goal weight: a number from 0 to 2000 (lbs)." sqref="D53:D60">
      <formula1>0</formula1>
      <formula2>2000</formula2>
    </dataValidation>
    <dataValidation type="decimal" allowBlank="1" showErrorMessage="1" error="Goal weight: a number from 0 to 2000 (lbs)." sqref="D67:D74">
      <formula1>0</formula1>
      <formula2>2000</formula2>
    </dataValidation>
    <dataValidation type="decimal" allowBlank="1" showErrorMessage="1" error="Goal weight: a number from 0 to 2000 (lbs)." sqref="D81:D88">
      <formula1>0</formula1>
      <formula2>2000</formula2>
    </dataValidation>
    <dataValidation type="decimal" allowBlank="1" showErrorMessage="1" error="Goal weight: a number from 0 to 2000 (lbs)." sqref="D95:D102">
      <formula1>0</formula1>
      <formula2>2000</formula2>
    </dataValidation>
    <dataValidation type="list" allowBlank="1" showInputMessage="1" prompt="Muscle group for the custom exercise" showErrorMessage="1" errorStyle="stop" errorTitle="Pick from the list" error="Choose one of the options in the dropdown." sqref="E106">
      <formula1>Lists!$D$2:$D$15</formula1>
    </dataValidation>
    <dataValidation type="whole" allowBlank="1" showErrorMessage="1" error="Goal reps: a whole number from 0 to 100." sqref="E109:E116">
      <formula1>0</formula1>
      <formula2>100</formula2>
    </dataValidation>
    <dataValidation type="whole" allowBlank="1" showErrorMessage="1" error="Goal reps: a whole number from 0 to 100." sqref="E11:E18">
      <formula1>0</formula1>
      <formula2>100</formula2>
    </dataValidation>
    <dataValidation type="list" allowBlank="1" showInputMessage="1" prompt="Muscle group for the custom exercise" showErrorMessage="1" errorStyle="stop" errorTitle="Pick from the list" error="Choose one of the options in the dropdown." sqref="E120">
      <formula1>Lists!$D$2:$D$15</formula1>
    </dataValidation>
    <dataValidation type="whole" allowBlank="1" showErrorMessage="1" error="Goal reps: a whole number from 0 to 100." sqref="E123:E130">
      <formula1>0</formula1>
      <formula2>100</formula2>
    </dataValidation>
    <dataValidation type="list" allowBlank="1" showInputMessage="1" prompt="Muscle group for the custom exercise" showErrorMessage="1" errorStyle="stop" errorTitle="Pick from the list" error="Choose one of the options in the dropdown." sqref="E134">
      <formula1>Lists!$D$2:$D$15</formula1>
    </dataValidation>
    <dataValidation type="whole" allowBlank="1" showErrorMessage="1" error="Goal reps: a whole number from 0 to 100." sqref="E137:E144">
      <formula1>0</formula1>
      <formula2>100</formula2>
    </dataValidation>
    <dataValidation type="list" allowBlank="1" showInputMessage="1" prompt="Muscle group for the custom exercise" showErrorMessage="1" errorStyle="stop" errorTitle="Pick from the list" error="Choose one of the options in the dropdown." sqref="E148">
      <formula1>Lists!$D$2:$D$15</formula1>
    </dataValidation>
    <dataValidation type="whole" allowBlank="1" showErrorMessage="1" error="Goal reps: a whole number from 0 to 100." sqref="E151:E158">
      <formula1>0</formula1>
      <formula2>100</formula2>
    </dataValidation>
    <dataValidation type="list" allowBlank="1" showInputMessage="1" prompt="Muscle group for the custom exercise" showErrorMessage="1" errorStyle="stop" errorTitle="Pick from the list" error="Choose one of the options in the dropdown." sqref="E162">
      <formula1>Lists!$D$2:$D$15</formula1>
    </dataValidation>
    <dataValidation type="whole" allowBlank="1" showErrorMessage="1" error="Goal reps: a whole number from 0 to 100." sqref="E165:E172">
      <formula1>0</formula1>
      <formula2>100</formula2>
    </dataValidation>
    <dataValidation type="list" allowBlank="1" showInputMessage="1" prompt="Muscle group for the custom exercise" showErrorMessage="1" errorStyle="stop" errorTitle="Pick from the list" error="Choose one of the options in the dropdown." sqref="E176">
      <formula1>Lists!$D$2:$D$15</formula1>
    </dataValidation>
    <dataValidation type="whole" allowBlank="1" showErrorMessage="1" error="Goal reps: a whole number from 0 to 100." sqref="E179:E186">
      <formula1>0</formula1>
      <formula2>100</formula2>
    </dataValidation>
    <dataValidation type="list" allowBlank="1" showInputMessage="1" prompt="Muscle group for the custom exercise" showErrorMessage="1" errorStyle="stop" errorTitle="Pick from the list" error="Choose one of the options in the dropdown." sqref="E190">
      <formula1>Lists!$D$2:$D$15</formula1>
    </dataValidation>
    <dataValidation type="whole" allowBlank="1" showErrorMessage="1" error="Goal reps: a whole number from 0 to 100." sqref="E193:E200">
      <formula1>0</formula1>
      <formula2>100</formula2>
    </dataValidation>
    <dataValidation type="list" allowBlank="1" showInputMessage="1" prompt="Muscle group for the custom exercise" showErrorMessage="1" errorStyle="stop" errorTitle="Pick from the list" error="Choose one of the options in the dropdown." sqref="E204">
      <formula1>Lists!$D$2:$D$15</formula1>
    </dataValidation>
    <dataValidation type="whole" allowBlank="1" showErrorMessage="1" error="Goal reps: a whole number from 0 to 100." sqref="E207:E214">
      <formula1>0</formula1>
      <formula2>100</formula2>
    </dataValidation>
    <dataValidation type="list" allowBlank="1" showInputMessage="1" prompt="Muscle group for the custom exercise" showErrorMessage="1" errorStyle="stop" errorTitle="Pick from the list" error="Choose one of the options in the dropdown." sqref="E22">
      <formula1>Lists!$D$2:$D$15</formula1>
    </dataValidation>
    <dataValidation type="whole" allowBlank="1" showErrorMessage="1" error="Goal reps: a whole number from 0 to 100." sqref="E25:E32">
      <formula1>0</formula1>
      <formula2>100</formula2>
    </dataValidation>
    <dataValidation type="list" allowBlank="1" showInputMessage="1" prompt="Muscle group for the custom exercise" showErrorMessage="1" errorStyle="stop" errorTitle="Pick from the list" error="Choose one of the options in the dropdown." sqref="E36">
      <formula1>Lists!$D$2:$D$15</formula1>
    </dataValidation>
    <dataValidation type="whole" allowBlank="1" showErrorMessage="1" error="Goal reps: a whole number from 0 to 100." sqref="E39:E46">
      <formula1>0</formula1>
      <formula2>100</formula2>
    </dataValidation>
    <dataValidation type="list" allowBlank="1" showInputMessage="1" prompt="Muscle group for the custom exercise" showErrorMessage="1" errorStyle="stop" errorTitle="Pick from the list" error="Choose one of the options in the dropdown." sqref="E50">
      <formula1>Lists!$D$2:$D$15</formula1>
    </dataValidation>
    <dataValidation type="whole" allowBlank="1" showErrorMessage="1" error="Goal reps: a whole number from 0 to 100." sqref="E53:E60">
      <formula1>0</formula1>
      <formula2>100</formula2>
    </dataValidation>
    <dataValidation type="list" allowBlank="1" showInputMessage="1" prompt="Muscle group for the custom exercise" showErrorMessage="1" errorStyle="stop" errorTitle="Pick from the list" error="Choose one of the options in the dropdown." sqref="E64">
      <formula1>Lists!$D$2:$D$15</formula1>
    </dataValidation>
    <dataValidation type="whole" allowBlank="1" showErrorMessage="1" error="Goal reps: a whole number from 0 to 100." sqref="E67:E74">
      <formula1>0</formula1>
      <formula2>100</formula2>
    </dataValidation>
    <dataValidation type="list" allowBlank="1" showInputMessage="1" prompt="Muscle group for the custom exercise" showErrorMessage="1" errorStyle="stop" errorTitle="Pick from the list" error="Choose one of the options in the dropdown." sqref="E78">
      <formula1>Lists!$D$2:$D$15</formula1>
    </dataValidation>
    <dataValidation type="list" allowBlank="1" showInputMessage="1" prompt="Muscle group for the custom exercise" showErrorMessage="1" errorStyle="stop" errorTitle="Pick from the list" error="Choose one of the options in the dropdown." sqref="E8">
      <formula1>Lists!$D$2:$D$15</formula1>
    </dataValidation>
    <dataValidation type="whole" allowBlank="1" showErrorMessage="1" error="Goal reps: a whole number from 0 to 100." sqref="E81:E88">
      <formula1>0</formula1>
      <formula2>100</formula2>
    </dataValidation>
    <dataValidation type="list" allowBlank="1" showInputMessage="1" prompt="Muscle group for the custom exercise" showErrorMessage="1" errorStyle="stop" errorTitle="Pick from the list" error="Choose one of the options in the dropdown." sqref="E92">
      <formula1>Lists!$D$2:$D$15</formula1>
    </dataValidation>
    <dataValidation type="whole" allowBlank="1" showErrorMessage="1" error="Goal reps: a whole number from 0 to 100." sqref="E95:E102">
      <formula1>0</formula1>
      <formula2>100</formula2>
    </dataValidation>
    <dataValidation type="textLength" operator="lessThanOrEqual" allowBlank="1" showErrorMessage="1" error="Keep the rep range short, e.g. 8-12." sqref="F109:F116">
      <formula1>20</formula1>
    </dataValidation>
    <dataValidation type="textLength" operator="lessThanOrEqual" allowBlank="1" showErrorMessage="1" error="Keep the rep range short, e.g. 8-12." sqref="F11:F18">
      <formula1>20</formula1>
    </dataValidation>
    <dataValidation type="textLength" operator="lessThanOrEqual" allowBlank="1" showErrorMessage="1" error="Keep the rep range short, e.g. 8-12." sqref="F123:F130">
      <formula1>20</formula1>
    </dataValidation>
    <dataValidation type="textLength" operator="lessThanOrEqual" allowBlank="1" showErrorMessage="1" error="Keep the rep range short, e.g. 8-12." sqref="F137:F144">
      <formula1>20</formula1>
    </dataValidation>
    <dataValidation type="textLength" operator="lessThanOrEqual" allowBlank="1" showErrorMessage="1" error="Keep the rep range short, e.g. 8-12." sqref="F151:F158">
      <formula1>20</formula1>
    </dataValidation>
    <dataValidation type="textLength" operator="lessThanOrEqual" allowBlank="1" showErrorMessage="1" error="Keep the rep range short, e.g. 8-12." sqref="F165:F172">
      <formula1>20</formula1>
    </dataValidation>
    <dataValidation type="textLength" operator="lessThanOrEqual" allowBlank="1" showErrorMessage="1" error="Keep the rep range short, e.g. 8-12." sqref="F179:F186">
      <formula1>20</formula1>
    </dataValidation>
    <dataValidation type="textLength" operator="lessThanOrEqual" allowBlank="1" showErrorMessage="1" error="Keep the rep range short, e.g. 8-12." sqref="F193:F200">
      <formula1>20</formula1>
    </dataValidation>
    <dataValidation type="textLength" operator="lessThanOrEqual" allowBlank="1" showErrorMessage="1" error="Keep the rep range short, e.g. 8-12." sqref="F207:F214">
      <formula1>20</formula1>
    </dataValidation>
    <dataValidation type="textLength" operator="lessThanOrEqual" allowBlank="1" showErrorMessage="1" error="Keep the rep range short, e.g. 8-12." sqref="F25:F32">
      <formula1>20</formula1>
    </dataValidation>
    <dataValidation type="textLength" operator="lessThanOrEqual" allowBlank="1" showErrorMessage="1" error="Keep the rep range short, e.g. 8-12." sqref="F39:F46">
      <formula1>20</formula1>
    </dataValidation>
    <dataValidation type="textLength" operator="lessThanOrEqual" allowBlank="1" showErrorMessage="1" error="Keep the rep range short, e.g. 8-12." sqref="F53:F60">
      <formula1>20</formula1>
    </dataValidation>
    <dataValidation type="textLength" operator="lessThanOrEqual" allowBlank="1" showErrorMessage="1" error="Keep the rep range short, e.g. 8-12." sqref="F67:F74">
      <formula1>20</formula1>
    </dataValidation>
    <dataValidation type="textLength" operator="lessThanOrEqual" allowBlank="1" showErrorMessage="1" error="Keep the rep range short, e.g. 8-12." sqref="F81:F88">
      <formula1>20</formula1>
    </dataValidation>
    <dataValidation type="textLength" operator="lessThanOrEqual" allowBlank="1" showErrorMessage="1" error="Keep the rep range short, e.g. 8-12." sqref="F95:F102">
      <formula1>20</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A6EA5"/>
  </sheetPr>
  <dimension ref="A1:Q214"/>
  <sheetViews>
    <sheetView workbookViewId="0" showGridLines="0">
      <pane ySplit="4" topLeftCell="A5" activePane="bottomLeft" state="frozen"/>
      <selection pane="bottomLeft"/>
    </sheetView>
  </sheetViews>
  <sheetFormatPr defaultRowHeight="15" outlineLevelRow="0" outlineLevelCol="0" x14ac:dyDescent="55"/>
  <cols>
    <col min="1" max="1" width="2" customWidth="1"/>
    <col min="2" max="2" width="13" customWidth="1"/>
    <col min="3" max="3" width="18" customWidth="1"/>
    <col min="4" max="6" width="14" customWidth="1"/>
    <col min="7" max="7" width="40" customWidth="1"/>
    <col min="14" max="14" width="9" hidden="1" customWidth="1"/>
    <col min="15" max="15" width="9" hidden="1" customWidth="1"/>
    <col min="16" max="16" width="9" hidden="1" customWidth="1"/>
    <col min="17" max="17" width="9" hidden="1" customWidth="1"/>
  </cols>
  <sheetData>
    <row r="1" ht="30" customHeight="1" spans="1:15" x14ac:dyDescent="0.25">
      <c r="A1" s="14">
        <f>IF($O$1="FILL","✅  FILL OUT THIS SHEET — Workout 7",IF($O$1="SKIP","⛔  NOT NEEDED — leave this sheet blank","Start on the Start sheet: answer question 1 first"))</f>
      </c>
      <c r="B1" s="14"/>
      <c r="C1" s="14"/>
      <c r="D1" s="14"/>
      <c r="E1" s="14"/>
      <c r="F1" s="14"/>
      <c r="G1" s="14"/>
      <c r="O1">
        <f>IF(Start!$C$4="Single Workout","SKIP",IF(Start!$C$4="Program",IF(7&lt;=N(Start!$C$9),"FILL","SKIP"),""))</f>
      </c>
    </row>
    <row r="2" spans="15:15" x14ac:dyDescent="0.25">
      <c r="O2">
        <f>IF($O$1="FILL",COUNTIF($G$3:$G$214,"⚠*"),0)</f>
      </c>
    </row>
    <row r="3" ht="26" customHeight="1" spans="2:7" x14ac:dyDescent="0.25">
      <c r="B3" s="15" t="s">
        <v>42</v>
      </c>
      <c r="C3" s="16"/>
      <c r="D3" s="16"/>
      <c r="E3" s="16"/>
      <c r="F3" s="16"/>
      <c r="G3" s="17">
        <f>IFERROR(IF($O$1&lt;&gt;"FILL","",IF($C$3="","⚠ Name this workout",IF($C$3="REST","⚠ REST is reserved for rest days — pick another name",IF(COUNTIF(Lists!$A$3:$A$14,$C$3)&gt;1,"⚠ Another workout has this name",IF(COUNTA($C$7,$C$8,$C$21,$C$22,$C$35,$C$36,$C$49,$C$50,$C$63,$C$64,$C$77,$C$78,$C$91,$C$92,$C$105,$C$106,$C$119,$C$120,$C$133,$C$134,$C$147,$C$148,$C$161,$C$162,$C$175,$C$176,$C$189,$C$190,$C$203,$C$204)=0,"⚠ Add at least one exercise","✓ Looks good"))))),"⚠ Check this row")</f>
      </c>
    </row>
    <row r="4" ht="30" customHeight="1" spans="2:6" x14ac:dyDescent="0.25">
      <c r="B4" s="15" t="s">
        <v>43</v>
      </c>
      <c r="C4" s="5"/>
      <c r="D4" s="5"/>
      <c r="E4" s="5"/>
      <c r="F4" s="5"/>
    </row>
    <row r="6" spans="2:6" x14ac:dyDescent="0.25">
      <c r="B6" s="18" t="s">
        <v>44</v>
      </c>
      <c r="C6" s="19"/>
      <c r="D6" s="19"/>
      <c r="E6" s="5"/>
      <c r="F6" s="5"/>
    </row>
    <row r="7" ht="24" customHeight="1" spans="2:16" x14ac:dyDescent="0.25">
      <c r="B7" s="20" t="s">
        <v>45</v>
      </c>
      <c r="C7" s="21"/>
      <c r="D7" s="21"/>
      <c r="E7" s="21"/>
      <c r="F7" s="21"/>
      <c r="G7" s="4">
        <f>IFERROR(IF(AND($C$7="",$C$8=""),IF(COUNTA($C$6:$F$6,$E$9,$C$11:$F$18)+COUNTA($E$8,$C$9)&gt;0,"⚠ Pick an exercise for this card",""),IF(AND($C$7&lt;&gt;"",$C$8&lt;&gt;""),"⚠ Use the library OR a custom exercise, not both",IF(AND($C$8&lt;&gt;"",$E$8=""),"⚠ Pick a muscle group for the custom exercise",IF(COUNT($E$11:$E$18)=0,"⚠ Enter Goal Reps for at least one set",IF(SUM($Q$11:$Q$18)&gt;0,"⚠ A set is missing Goal Reps",IF(IF($C$9="",1=0,COUNTIF($P$7:$P$214,$C$9)&lt;2),"⚠ Superset "&amp;$C$9&amp;" needs 2+ exercises",IF($C$7&lt;&gt;"",IFERROR("✓ "&amp;INDEX('Exercise Library'!$C$2:$C$319,MATCH($C$7,'Exercise Library'!$B$2:$B$319,0))&amp;IF(INDEX('Exercise Library'!$D$2:$D$319,MATCH($C$7,'Exercise Library'!$B$2:$B$319,0))="Yes"," · demo video","")&amp;" · "&amp;COUNT($E$11:$E$18)&amp;" sets","⚠ Not in the library — use Custom"),"✓ Custom ("&amp;$E$8&amp;") · "&amp;COUNT($E$11:$E$18)&amp;" sets"))))))),"⚠ Check this row")</f>
      </c>
      <c r="P7">
        <f>IF(OR($C$7&lt;&gt;"",$C$8&lt;&gt;""),$C$9,"")</f>
      </c>
    </row>
    <row r="8" spans="2:6" x14ac:dyDescent="0.25">
      <c r="B8" s="18" t="s">
        <v>46</v>
      </c>
      <c r="C8" s="5"/>
      <c r="D8" s="5"/>
      <c r="E8" s="5"/>
      <c r="F8" s="18" t="s">
        <v>47</v>
      </c>
    </row>
    <row r="9" ht="22" customHeight="1" spans="2:6" x14ac:dyDescent="0.25">
      <c r="B9" s="18" t="s">
        <v>48</v>
      </c>
      <c r="C9" s="22"/>
      <c r="D9" s="18" t="s">
        <v>49</v>
      </c>
      <c r="E9" s="5"/>
      <c r="F9" s="5"/>
    </row>
    <row r="10" spans="2:6" x14ac:dyDescent="0.25">
      <c r="B10" s="23" t="s">
        <v>50</v>
      </c>
      <c r="C10" s="23" t="s">
        <v>51</v>
      </c>
      <c r="D10" s="23" t="s">
        <v>52</v>
      </c>
      <c r="E10" s="23" t="s">
        <v>53</v>
      </c>
      <c r="F10" s="23" t="s">
        <v>54</v>
      </c>
    </row>
    <row r="11" spans="2:17" x14ac:dyDescent="0.25">
      <c r="B11" s="24">
        <v>1</v>
      </c>
      <c r="C11" s="22"/>
      <c r="D11" s="22"/>
      <c r="E11" s="22"/>
      <c r="F11" s="22"/>
      <c r="Q11">
        <f>IF(AND($E11="",COUNTA($C11:$D11,$F11)&gt;0),1,0)</f>
      </c>
    </row>
    <row r="12" spans="2:17" x14ac:dyDescent="0.25">
      <c r="B12" s="24">
        <v>2</v>
      </c>
      <c r="C12" s="22"/>
      <c r="D12" s="22"/>
      <c r="E12" s="22"/>
      <c r="F12" s="22"/>
      <c r="Q12">
        <f>IF(AND($E12="",COUNTA($C12:$D12,$F12)&gt;0),1,0)</f>
      </c>
    </row>
    <row r="13" spans="2:17" x14ac:dyDescent="0.25">
      <c r="B13" s="24">
        <v>3</v>
      </c>
      <c r="C13" s="22"/>
      <c r="D13" s="22"/>
      <c r="E13" s="22"/>
      <c r="F13" s="22"/>
      <c r="Q13">
        <f>IF(AND($E13="",COUNTA($C13:$D13,$F13)&gt;0),1,0)</f>
      </c>
    </row>
    <row r="14" spans="2:17" x14ac:dyDescent="0.25">
      <c r="B14" s="24">
        <v>4</v>
      </c>
      <c r="C14" s="22"/>
      <c r="D14" s="22"/>
      <c r="E14" s="22"/>
      <c r="F14" s="22"/>
      <c r="Q14">
        <f>IF(AND($E14="",COUNTA($C14:$D14,$F14)&gt;0),1,0)</f>
      </c>
    </row>
    <row r="15" spans="2:17" x14ac:dyDescent="0.25">
      <c r="B15" s="24">
        <v>5</v>
      </c>
      <c r="C15" s="22"/>
      <c r="D15" s="22"/>
      <c r="E15" s="22"/>
      <c r="F15" s="22"/>
      <c r="Q15">
        <f>IF(AND($E15="",COUNTA($C15:$D15,$F15)&gt;0),1,0)</f>
      </c>
    </row>
    <row r="16" spans="2:17" x14ac:dyDescent="0.25">
      <c r="B16" s="24">
        <v>6</v>
      </c>
      <c r="C16" s="22"/>
      <c r="D16" s="22"/>
      <c r="E16" s="22"/>
      <c r="F16" s="22"/>
      <c r="Q16">
        <f>IF(AND($E16="",COUNTA($C16:$D16,$F16)&gt;0),1,0)</f>
      </c>
    </row>
    <row r="17" spans="2:17" x14ac:dyDescent="0.25">
      <c r="B17" s="24">
        <v>7</v>
      </c>
      <c r="C17" s="22"/>
      <c r="D17" s="22"/>
      <c r="E17" s="22"/>
      <c r="F17" s="22"/>
      <c r="Q17">
        <f>IF(AND($E17="",COUNTA($C17:$D17,$F17)&gt;0),1,0)</f>
      </c>
    </row>
    <row r="18" spans="2:17" x14ac:dyDescent="0.25">
      <c r="B18" s="24">
        <v>8</v>
      </c>
      <c r="C18" s="22"/>
      <c r="D18" s="22"/>
      <c r="E18" s="22"/>
      <c r="F18" s="22"/>
      <c r="Q18">
        <f>IF(AND($E18="",COUNTA($C18:$D18,$F18)&gt;0),1,0)</f>
      </c>
    </row>
    <row r="20" spans="2:6" x14ac:dyDescent="0.25">
      <c r="B20" s="18" t="s">
        <v>44</v>
      </c>
      <c r="C20" s="19"/>
      <c r="D20" s="19"/>
      <c r="E20" s="5"/>
      <c r="F20" s="5"/>
    </row>
    <row r="21" ht="24" customHeight="1" spans="2:16" x14ac:dyDescent="0.25">
      <c r="B21" s="20" t="s">
        <v>55</v>
      </c>
      <c r="C21" s="21"/>
      <c r="D21" s="21"/>
      <c r="E21" s="21"/>
      <c r="F21" s="21"/>
      <c r="G21" s="4">
        <f>IFERROR(IF(AND($C$21="",$C$22=""),IF(COUNTA($C$20:$F$20,$E$23,$C$25:$F$32)+COUNTA($E$22,$C$23)&gt;0,"⚠ Pick an exercise for this card",""),IF(AND($C$21&lt;&gt;"",$C$22&lt;&gt;""),"⚠ Use the library OR a custom exercise, not both",IF(AND($C$22&lt;&gt;"",$E$22=""),"⚠ Pick a muscle group for the custom exercise",IF(COUNT($E$25:$E$32)=0,"⚠ Enter Goal Reps for at least one set",IF(SUM($Q$25:$Q$32)&gt;0,"⚠ A set is missing Goal Reps",IF(IF($C$23="",1=0,COUNTIF($P$7:$P$214,$C$23)&lt;2),"⚠ Superset "&amp;$C$23&amp;" needs 2+ exercises",IF($C$21&lt;&gt;"",IFERROR("✓ "&amp;INDEX('Exercise Library'!$C$2:$C$319,MATCH($C$21,'Exercise Library'!$B$2:$B$319,0))&amp;IF(INDEX('Exercise Library'!$D$2:$D$319,MATCH($C$21,'Exercise Library'!$B$2:$B$319,0))="Yes"," · demo video","")&amp;" · "&amp;COUNT($E$25:$E$32)&amp;" sets","⚠ Not in the library — use Custom"),"✓ Custom ("&amp;$E$22&amp;") · "&amp;COUNT($E$25:$E$32)&amp;" sets"))))))),"⚠ Check this row")</f>
      </c>
      <c r="P21">
        <f>IF(OR($C$21&lt;&gt;"",$C$22&lt;&gt;""),$C$23,"")</f>
      </c>
    </row>
    <row r="22" spans="2:6" x14ac:dyDescent="0.25">
      <c r="B22" s="18" t="s">
        <v>46</v>
      </c>
      <c r="C22" s="5"/>
      <c r="D22" s="5"/>
      <c r="E22" s="5"/>
      <c r="F22" s="18" t="s">
        <v>47</v>
      </c>
    </row>
    <row r="23" ht="22" customHeight="1" spans="2:6" x14ac:dyDescent="0.25">
      <c r="B23" s="18" t="s">
        <v>48</v>
      </c>
      <c r="C23" s="22"/>
      <c r="D23" s="18" t="s">
        <v>49</v>
      </c>
      <c r="E23" s="5"/>
      <c r="F23" s="5"/>
    </row>
    <row r="24" spans="2:6" x14ac:dyDescent="0.25">
      <c r="B24" s="23" t="s">
        <v>50</v>
      </c>
      <c r="C24" s="23" t="s">
        <v>51</v>
      </c>
      <c r="D24" s="23" t="s">
        <v>52</v>
      </c>
      <c r="E24" s="23" t="s">
        <v>53</v>
      </c>
      <c r="F24" s="23" t="s">
        <v>54</v>
      </c>
    </row>
    <row r="25" spans="2:17" x14ac:dyDescent="0.25">
      <c r="B25" s="24">
        <v>1</v>
      </c>
      <c r="C25" s="22"/>
      <c r="D25" s="22"/>
      <c r="E25" s="22"/>
      <c r="F25" s="22"/>
      <c r="Q25">
        <f>IF(AND($E25="",COUNTA($C25:$D25,$F25)&gt;0),1,0)</f>
      </c>
    </row>
    <row r="26" spans="2:17" x14ac:dyDescent="0.25">
      <c r="B26" s="24">
        <v>2</v>
      </c>
      <c r="C26" s="22"/>
      <c r="D26" s="22"/>
      <c r="E26" s="22"/>
      <c r="F26" s="22"/>
      <c r="Q26">
        <f>IF(AND($E26="",COUNTA($C26:$D26,$F26)&gt;0),1,0)</f>
      </c>
    </row>
    <row r="27" spans="2:17" x14ac:dyDescent="0.25">
      <c r="B27" s="24">
        <v>3</v>
      </c>
      <c r="C27" s="22"/>
      <c r="D27" s="22"/>
      <c r="E27" s="22"/>
      <c r="F27" s="22"/>
      <c r="Q27">
        <f>IF(AND($E27="",COUNTA($C27:$D27,$F27)&gt;0),1,0)</f>
      </c>
    </row>
    <row r="28" spans="2:17" x14ac:dyDescent="0.25">
      <c r="B28" s="24">
        <v>4</v>
      </c>
      <c r="C28" s="22"/>
      <c r="D28" s="22"/>
      <c r="E28" s="22"/>
      <c r="F28" s="22"/>
      <c r="Q28">
        <f>IF(AND($E28="",COUNTA($C28:$D28,$F28)&gt;0),1,0)</f>
      </c>
    </row>
    <row r="29" spans="2:17" x14ac:dyDescent="0.25">
      <c r="B29" s="24">
        <v>5</v>
      </c>
      <c r="C29" s="22"/>
      <c r="D29" s="22"/>
      <c r="E29" s="22"/>
      <c r="F29" s="22"/>
      <c r="Q29">
        <f>IF(AND($E29="",COUNTA($C29:$D29,$F29)&gt;0),1,0)</f>
      </c>
    </row>
    <row r="30" spans="2:17" x14ac:dyDescent="0.25">
      <c r="B30" s="24">
        <v>6</v>
      </c>
      <c r="C30" s="22"/>
      <c r="D30" s="22"/>
      <c r="E30" s="22"/>
      <c r="F30" s="22"/>
      <c r="Q30">
        <f>IF(AND($E30="",COUNTA($C30:$D30,$F30)&gt;0),1,0)</f>
      </c>
    </row>
    <row r="31" spans="2:17" x14ac:dyDescent="0.25">
      <c r="B31" s="24">
        <v>7</v>
      </c>
      <c r="C31" s="22"/>
      <c r="D31" s="22"/>
      <c r="E31" s="22"/>
      <c r="F31" s="22"/>
      <c r="Q31">
        <f>IF(AND($E31="",COUNTA($C31:$D31,$F31)&gt;0),1,0)</f>
      </c>
    </row>
    <row r="32" spans="2:17" x14ac:dyDescent="0.25">
      <c r="B32" s="24">
        <v>8</v>
      </c>
      <c r="C32" s="22"/>
      <c r="D32" s="22"/>
      <c r="E32" s="22"/>
      <c r="F32" s="22"/>
      <c r="Q32">
        <f>IF(AND($E32="",COUNTA($C32:$D32,$F32)&gt;0),1,0)</f>
      </c>
    </row>
    <row r="34" spans="2:6" x14ac:dyDescent="0.25">
      <c r="B34" s="18" t="s">
        <v>44</v>
      </c>
      <c r="C34" s="19"/>
      <c r="D34" s="19"/>
      <c r="E34" s="5"/>
      <c r="F34" s="5"/>
    </row>
    <row r="35" ht="24" customHeight="1" spans="2:16" x14ac:dyDescent="0.25">
      <c r="B35" s="20" t="s">
        <v>56</v>
      </c>
      <c r="C35" s="21"/>
      <c r="D35" s="21"/>
      <c r="E35" s="21"/>
      <c r="F35" s="21"/>
      <c r="G35" s="4">
        <f>IFERROR(IF(AND($C$35="",$C$36=""),IF(COUNTA($C$34:$F$34,$E$37,$C$39:$F$46)+COUNTA($E$36,$C$37)&gt;0,"⚠ Pick an exercise for this card",""),IF(AND($C$35&lt;&gt;"",$C$36&lt;&gt;""),"⚠ Use the library OR a custom exercise, not both",IF(AND($C$36&lt;&gt;"",$E$36=""),"⚠ Pick a muscle group for the custom exercise",IF(COUNT($E$39:$E$46)=0,"⚠ Enter Goal Reps for at least one set",IF(SUM($Q$39:$Q$46)&gt;0,"⚠ A set is missing Goal Reps",IF(IF($C$37="",1=0,COUNTIF($P$7:$P$214,$C$37)&lt;2),"⚠ Superset "&amp;$C$37&amp;" needs 2+ exercises",IF($C$35&lt;&gt;"",IFERROR("✓ "&amp;INDEX('Exercise Library'!$C$2:$C$319,MATCH($C$35,'Exercise Library'!$B$2:$B$319,0))&amp;IF(INDEX('Exercise Library'!$D$2:$D$319,MATCH($C$35,'Exercise Library'!$B$2:$B$319,0))="Yes"," · demo video","")&amp;" · "&amp;COUNT($E$39:$E$46)&amp;" sets","⚠ Not in the library — use Custom"),"✓ Custom ("&amp;$E$36&amp;") · "&amp;COUNT($E$39:$E$46)&amp;" sets"))))))),"⚠ Check this row")</f>
      </c>
      <c r="P35">
        <f>IF(OR($C$35&lt;&gt;"",$C$36&lt;&gt;""),$C$37,"")</f>
      </c>
    </row>
    <row r="36" spans="2:6" x14ac:dyDescent="0.25">
      <c r="B36" s="18" t="s">
        <v>46</v>
      </c>
      <c r="C36" s="5"/>
      <c r="D36" s="5"/>
      <c r="E36" s="5"/>
      <c r="F36" s="18" t="s">
        <v>47</v>
      </c>
    </row>
    <row r="37" ht="22" customHeight="1" spans="2:6" x14ac:dyDescent="0.25">
      <c r="B37" s="18" t="s">
        <v>48</v>
      </c>
      <c r="C37" s="22"/>
      <c r="D37" s="18" t="s">
        <v>49</v>
      </c>
      <c r="E37" s="5"/>
      <c r="F37" s="5"/>
    </row>
    <row r="38" spans="2:6" x14ac:dyDescent="0.25">
      <c r="B38" s="23" t="s">
        <v>50</v>
      </c>
      <c r="C38" s="23" t="s">
        <v>51</v>
      </c>
      <c r="D38" s="23" t="s">
        <v>52</v>
      </c>
      <c r="E38" s="23" t="s">
        <v>53</v>
      </c>
      <c r="F38" s="23" t="s">
        <v>54</v>
      </c>
    </row>
    <row r="39" spans="2:17" x14ac:dyDescent="0.25">
      <c r="B39" s="24">
        <v>1</v>
      </c>
      <c r="C39" s="22"/>
      <c r="D39" s="22"/>
      <c r="E39" s="22"/>
      <c r="F39" s="22"/>
      <c r="Q39">
        <f>IF(AND($E39="",COUNTA($C39:$D39,$F39)&gt;0),1,0)</f>
      </c>
    </row>
    <row r="40" spans="2:17" x14ac:dyDescent="0.25">
      <c r="B40" s="24">
        <v>2</v>
      </c>
      <c r="C40" s="22"/>
      <c r="D40" s="22"/>
      <c r="E40" s="22"/>
      <c r="F40" s="22"/>
      <c r="Q40">
        <f>IF(AND($E40="",COUNTA($C40:$D40,$F40)&gt;0),1,0)</f>
      </c>
    </row>
    <row r="41" spans="2:17" x14ac:dyDescent="0.25">
      <c r="B41" s="24">
        <v>3</v>
      </c>
      <c r="C41" s="22"/>
      <c r="D41" s="22"/>
      <c r="E41" s="22"/>
      <c r="F41" s="22"/>
      <c r="Q41">
        <f>IF(AND($E41="",COUNTA($C41:$D41,$F41)&gt;0),1,0)</f>
      </c>
    </row>
    <row r="42" spans="2:17" x14ac:dyDescent="0.25">
      <c r="B42" s="24">
        <v>4</v>
      </c>
      <c r="C42" s="22"/>
      <c r="D42" s="22"/>
      <c r="E42" s="22"/>
      <c r="F42" s="22"/>
      <c r="Q42">
        <f>IF(AND($E42="",COUNTA($C42:$D42,$F42)&gt;0),1,0)</f>
      </c>
    </row>
    <row r="43" spans="2:17" x14ac:dyDescent="0.25">
      <c r="B43" s="24">
        <v>5</v>
      </c>
      <c r="C43" s="22"/>
      <c r="D43" s="22"/>
      <c r="E43" s="22"/>
      <c r="F43" s="22"/>
      <c r="Q43">
        <f>IF(AND($E43="",COUNTA($C43:$D43,$F43)&gt;0),1,0)</f>
      </c>
    </row>
    <row r="44" spans="2:17" x14ac:dyDescent="0.25">
      <c r="B44" s="24">
        <v>6</v>
      </c>
      <c r="C44" s="22"/>
      <c r="D44" s="22"/>
      <c r="E44" s="22"/>
      <c r="F44" s="22"/>
      <c r="Q44">
        <f>IF(AND($E44="",COUNTA($C44:$D44,$F44)&gt;0),1,0)</f>
      </c>
    </row>
    <row r="45" spans="2:17" x14ac:dyDescent="0.25">
      <c r="B45" s="24">
        <v>7</v>
      </c>
      <c r="C45" s="22"/>
      <c r="D45" s="22"/>
      <c r="E45" s="22"/>
      <c r="F45" s="22"/>
      <c r="Q45">
        <f>IF(AND($E45="",COUNTA($C45:$D45,$F45)&gt;0),1,0)</f>
      </c>
    </row>
    <row r="46" spans="2:17" x14ac:dyDescent="0.25">
      <c r="B46" s="24">
        <v>8</v>
      </c>
      <c r="C46" s="22"/>
      <c r="D46" s="22"/>
      <c r="E46" s="22"/>
      <c r="F46" s="22"/>
      <c r="Q46">
        <f>IF(AND($E46="",COUNTA($C46:$D46,$F46)&gt;0),1,0)</f>
      </c>
    </row>
    <row r="48" spans="2:6" x14ac:dyDescent="0.25">
      <c r="B48" s="18" t="s">
        <v>44</v>
      </c>
      <c r="C48" s="19"/>
      <c r="D48" s="19"/>
      <c r="E48" s="5"/>
      <c r="F48" s="5"/>
    </row>
    <row r="49" ht="24" customHeight="1" spans="2:16" x14ac:dyDescent="0.25">
      <c r="B49" s="20" t="s">
        <v>57</v>
      </c>
      <c r="C49" s="21"/>
      <c r="D49" s="21"/>
      <c r="E49" s="21"/>
      <c r="F49" s="21"/>
      <c r="G49" s="4">
        <f>IFERROR(IF(AND($C$49="",$C$50=""),IF(COUNTA($C$48:$F$48,$E$51,$C$53:$F$60)+COUNTA($E$50,$C$51)&gt;0,"⚠ Pick an exercise for this card",""),IF(AND($C$49&lt;&gt;"",$C$50&lt;&gt;""),"⚠ Use the library OR a custom exercise, not both",IF(AND($C$50&lt;&gt;"",$E$50=""),"⚠ Pick a muscle group for the custom exercise",IF(COUNT($E$53:$E$60)=0,"⚠ Enter Goal Reps for at least one set",IF(SUM($Q$53:$Q$60)&gt;0,"⚠ A set is missing Goal Reps",IF(IF($C$51="",1=0,COUNTIF($P$7:$P$214,$C$51)&lt;2),"⚠ Superset "&amp;$C$51&amp;" needs 2+ exercises",IF($C$49&lt;&gt;"",IFERROR("✓ "&amp;INDEX('Exercise Library'!$C$2:$C$319,MATCH($C$49,'Exercise Library'!$B$2:$B$319,0))&amp;IF(INDEX('Exercise Library'!$D$2:$D$319,MATCH($C$49,'Exercise Library'!$B$2:$B$319,0))="Yes"," · demo video","")&amp;" · "&amp;COUNT($E$53:$E$60)&amp;" sets","⚠ Not in the library — use Custom"),"✓ Custom ("&amp;$E$50&amp;") · "&amp;COUNT($E$53:$E$60)&amp;" sets"))))))),"⚠ Check this row")</f>
      </c>
      <c r="P49">
        <f>IF(OR($C$49&lt;&gt;"",$C$50&lt;&gt;""),$C$51,"")</f>
      </c>
    </row>
    <row r="50" spans="2:6" x14ac:dyDescent="0.25">
      <c r="B50" s="18" t="s">
        <v>46</v>
      </c>
      <c r="C50" s="5"/>
      <c r="D50" s="5"/>
      <c r="E50" s="5"/>
      <c r="F50" s="18" t="s">
        <v>47</v>
      </c>
    </row>
    <row r="51" ht="22" customHeight="1" spans="2:6" x14ac:dyDescent="0.25">
      <c r="B51" s="18" t="s">
        <v>48</v>
      </c>
      <c r="C51" s="22"/>
      <c r="D51" s="18" t="s">
        <v>49</v>
      </c>
      <c r="E51" s="5"/>
      <c r="F51" s="5"/>
    </row>
    <row r="52" spans="2:6" x14ac:dyDescent="0.25">
      <c r="B52" s="23" t="s">
        <v>50</v>
      </c>
      <c r="C52" s="23" t="s">
        <v>51</v>
      </c>
      <c r="D52" s="23" t="s">
        <v>52</v>
      </c>
      <c r="E52" s="23" t="s">
        <v>53</v>
      </c>
      <c r="F52" s="23" t="s">
        <v>54</v>
      </c>
    </row>
    <row r="53" spans="2:17" x14ac:dyDescent="0.25">
      <c r="B53" s="24">
        <v>1</v>
      </c>
      <c r="C53" s="22"/>
      <c r="D53" s="22"/>
      <c r="E53" s="22"/>
      <c r="F53" s="22"/>
      <c r="Q53">
        <f>IF(AND($E53="",COUNTA($C53:$D53,$F53)&gt;0),1,0)</f>
      </c>
    </row>
    <row r="54" spans="2:17" x14ac:dyDescent="0.25">
      <c r="B54" s="24">
        <v>2</v>
      </c>
      <c r="C54" s="22"/>
      <c r="D54" s="22"/>
      <c r="E54" s="22"/>
      <c r="F54" s="22"/>
      <c r="Q54">
        <f>IF(AND($E54="",COUNTA($C54:$D54,$F54)&gt;0),1,0)</f>
      </c>
    </row>
    <row r="55" spans="2:17" x14ac:dyDescent="0.25">
      <c r="B55" s="24">
        <v>3</v>
      </c>
      <c r="C55" s="22"/>
      <c r="D55" s="22"/>
      <c r="E55" s="22"/>
      <c r="F55" s="22"/>
      <c r="Q55">
        <f>IF(AND($E55="",COUNTA($C55:$D55,$F55)&gt;0),1,0)</f>
      </c>
    </row>
    <row r="56" spans="2:17" x14ac:dyDescent="0.25">
      <c r="B56" s="24">
        <v>4</v>
      </c>
      <c r="C56" s="22"/>
      <c r="D56" s="22"/>
      <c r="E56" s="22"/>
      <c r="F56" s="22"/>
      <c r="Q56">
        <f>IF(AND($E56="",COUNTA($C56:$D56,$F56)&gt;0),1,0)</f>
      </c>
    </row>
    <row r="57" spans="2:17" x14ac:dyDescent="0.25">
      <c r="B57" s="24">
        <v>5</v>
      </c>
      <c r="C57" s="22"/>
      <c r="D57" s="22"/>
      <c r="E57" s="22"/>
      <c r="F57" s="22"/>
      <c r="Q57">
        <f>IF(AND($E57="",COUNTA($C57:$D57,$F57)&gt;0),1,0)</f>
      </c>
    </row>
    <row r="58" spans="2:17" x14ac:dyDescent="0.25">
      <c r="B58" s="24">
        <v>6</v>
      </c>
      <c r="C58" s="22"/>
      <c r="D58" s="22"/>
      <c r="E58" s="22"/>
      <c r="F58" s="22"/>
      <c r="Q58">
        <f>IF(AND($E58="",COUNTA($C58:$D58,$F58)&gt;0),1,0)</f>
      </c>
    </row>
    <row r="59" spans="2:17" x14ac:dyDescent="0.25">
      <c r="B59" s="24">
        <v>7</v>
      </c>
      <c r="C59" s="22"/>
      <c r="D59" s="22"/>
      <c r="E59" s="22"/>
      <c r="F59" s="22"/>
      <c r="Q59">
        <f>IF(AND($E59="",COUNTA($C59:$D59,$F59)&gt;0),1,0)</f>
      </c>
    </row>
    <row r="60" spans="2:17" x14ac:dyDescent="0.25">
      <c r="B60" s="24">
        <v>8</v>
      </c>
      <c r="C60" s="22"/>
      <c r="D60" s="22"/>
      <c r="E60" s="22"/>
      <c r="F60" s="22"/>
      <c r="Q60">
        <f>IF(AND($E60="",COUNTA($C60:$D60,$F60)&gt;0),1,0)</f>
      </c>
    </row>
    <row r="62" spans="2:6" x14ac:dyDescent="0.25">
      <c r="B62" s="18" t="s">
        <v>44</v>
      </c>
      <c r="C62" s="19"/>
      <c r="D62" s="19"/>
      <c r="E62" s="5"/>
      <c r="F62" s="5"/>
    </row>
    <row r="63" ht="24" customHeight="1" spans="2:16" x14ac:dyDescent="0.25">
      <c r="B63" s="20" t="s">
        <v>58</v>
      </c>
      <c r="C63" s="21"/>
      <c r="D63" s="21"/>
      <c r="E63" s="21"/>
      <c r="F63" s="21"/>
      <c r="G63" s="4">
        <f>IFERROR(IF(AND($C$63="",$C$64=""),IF(COUNTA($C$62:$F$62,$E$65,$C$67:$F$74)+COUNTA($E$64,$C$65)&gt;0,"⚠ Pick an exercise for this card",""),IF(AND($C$63&lt;&gt;"",$C$64&lt;&gt;""),"⚠ Use the library OR a custom exercise, not both",IF(AND($C$64&lt;&gt;"",$E$64=""),"⚠ Pick a muscle group for the custom exercise",IF(COUNT($E$67:$E$74)=0,"⚠ Enter Goal Reps for at least one set",IF(SUM($Q$67:$Q$74)&gt;0,"⚠ A set is missing Goal Reps",IF(IF($C$65="",1=0,COUNTIF($P$7:$P$214,$C$65)&lt;2),"⚠ Superset "&amp;$C$65&amp;" needs 2+ exercises",IF($C$63&lt;&gt;"",IFERROR("✓ "&amp;INDEX('Exercise Library'!$C$2:$C$319,MATCH($C$63,'Exercise Library'!$B$2:$B$319,0))&amp;IF(INDEX('Exercise Library'!$D$2:$D$319,MATCH($C$63,'Exercise Library'!$B$2:$B$319,0))="Yes"," · demo video","")&amp;" · "&amp;COUNT($E$67:$E$74)&amp;" sets","⚠ Not in the library — use Custom"),"✓ Custom ("&amp;$E$64&amp;") · "&amp;COUNT($E$67:$E$74)&amp;" sets"))))))),"⚠ Check this row")</f>
      </c>
      <c r="P63">
        <f>IF(OR($C$63&lt;&gt;"",$C$64&lt;&gt;""),$C$65,"")</f>
      </c>
    </row>
    <row r="64" spans="2:6" x14ac:dyDescent="0.25">
      <c r="B64" s="18" t="s">
        <v>46</v>
      </c>
      <c r="C64" s="5"/>
      <c r="D64" s="5"/>
      <c r="E64" s="5"/>
      <c r="F64" s="18" t="s">
        <v>47</v>
      </c>
    </row>
    <row r="65" ht="22" customHeight="1" spans="2:6" x14ac:dyDescent="0.25">
      <c r="B65" s="18" t="s">
        <v>48</v>
      </c>
      <c r="C65" s="22"/>
      <c r="D65" s="18" t="s">
        <v>49</v>
      </c>
      <c r="E65" s="5"/>
      <c r="F65" s="5"/>
    </row>
    <row r="66" spans="2:6" x14ac:dyDescent="0.25">
      <c r="B66" s="23" t="s">
        <v>50</v>
      </c>
      <c r="C66" s="23" t="s">
        <v>51</v>
      </c>
      <c r="D66" s="23" t="s">
        <v>52</v>
      </c>
      <c r="E66" s="23" t="s">
        <v>53</v>
      </c>
      <c r="F66" s="23" t="s">
        <v>54</v>
      </c>
    </row>
    <row r="67" spans="2:17" x14ac:dyDescent="0.25">
      <c r="B67" s="24">
        <v>1</v>
      </c>
      <c r="C67" s="22"/>
      <c r="D67" s="22"/>
      <c r="E67" s="22"/>
      <c r="F67" s="22"/>
      <c r="Q67">
        <f>IF(AND($E67="",COUNTA($C67:$D67,$F67)&gt;0),1,0)</f>
      </c>
    </row>
    <row r="68" spans="2:17" x14ac:dyDescent="0.25">
      <c r="B68" s="24">
        <v>2</v>
      </c>
      <c r="C68" s="22"/>
      <c r="D68" s="22"/>
      <c r="E68" s="22"/>
      <c r="F68" s="22"/>
      <c r="Q68">
        <f>IF(AND($E68="",COUNTA($C68:$D68,$F68)&gt;0),1,0)</f>
      </c>
    </row>
    <row r="69" spans="2:17" x14ac:dyDescent="0.25">
      <c r="B69" s="24">
        <v>3</v>
      </c>
      <c r="C69" s="22"/>
      <c r="D69" s="22"/>
      <c r="E69" s="22"/>
      <c r="F69" s="22"/>
      <c r="Q69">
        <f>IF(AND($E69="",COUNTA($C69:$D69,$F69)&gt;0),1,0)</f>
      </c>
    </row>
    <row r="70" spans="2:17" x14ac:dyDescent="0.25">
      <c r="B70" s="24">
        <v>4</v>
      </c>
      <c r="C70" s="22"/>
      <c r="D70" s="22"/>
      <c r="E70" s="22"/>
      <c r="F70" s="22"/>
      <c r="Q70">
        <f>IF(AND($E70="",COUNTA($C70:$D70,$F70)&gt;0),1,0)</f>
      </c>
    </row>
    <row r="71" spans="2:17" x14ac:dyDescent="0.25">
      <c r="B71" s="24">
        <v>5</v>
      </c>
      <c r="C71" s="22"/>
      <c r="D71" s="22"/>
      <c r="E71" s="22"/>
      <c r="F71" s="22"/>
      <c r="Q71">
        <f>IF(AND($E71="",COUNTA($C71:$D71,$F71)&gt;0),1,0)</f>
      </c>
    </row>
    <row r="72" spans="2:17" x14ac:dyDescent="0.25">
      <c r="B72" s="24">
        <v>6</v>
      </c>
      <c r="C72" s="22"/>
      <c r="D72" s="22"/>
      <c r="E72" s="22"/>
      <c r="F72" s="22"/>
      <c r="Q72">
        <f>IF(AND($E72="",COUNTA($C72:$D72,$F72)&gt;0),1,0)</f>
      </c>
    </row>
    <row r="73" spans="2:17" x14ac:dyDescent="0.25">
      <c r="B73" s="24">
        <v>7</v>
      </c>
      <c r="C73" s="22"/>
      <c r="D73" s="22"/>
      <c r="E73" s="22"/>
      <c r="F73" s="22"/>
      <c r="Q73">
        <f>IF(AND($E73="",COUNTA($C73:$D73,$F73)&gt;0),1,0)</f>
      </c>
    </row>
    <row r="74" spans="2:17" x14ac:dyDescent="0.25">
      <c r="B74" s="24">
        <v>8</v>
      </c>
      <c r="C74" s="22"/>
      <c r="D74" s="22"/>
      <c r="E74" s="22"/>
      <c r="F74" s="22"/>
      <c r="Q74">
        <f>IF(AND($E74="",COUNTA($C74:$D74,$F74)&gt;0),1,0)</f>
      </c>
    </row>
    <row r="76" spans="2:6" x14ac:dyDescent="0.25">
      <c r="B76" s="18" t="s">
        <v>44</v>
      </c>
      <c r="C76" s="19"/>
      <c r="D76" s="19"/>
      <c r="E76" s="5"/>
      <c r="F76" s="5"/>
    </row>
    <row r="77" ht="24" customHeight="1" spans="2:16" x14ac:dyDescent="0.25">
      <c r="B77" s="20" t="s">
        <v>59</v>
      </c>
      <c r="C77" s="21"/>
      <c r="D77" s="21"/>
      <c r="E77" s="21"/>
      <c r="F77" s="21"/>
      <c r="G77" s="4">
        <f>IFERROR(IF(AND($C$77="",$C$78=""),IF(COUNTA($C$76:$F$76,$E$79,$C$81:$F$88)+COUNTA($E$78,$C$79)&gt;0,"⚠ Pick an exercise for this card",""),IF(AND($C$77&lt;&gt;"",$C$78&lt;&gt;""),"⚠ Use the library OR a custom exercise, not both",IF(AND($C$78&lt;&gt;"",$E$78=""),"⚠ Pick a muscle group for the custom exercise",IF(COUNT($E$81:$E$88)=0,"⚠ Enter Goal Reps for at least one set",IF(SUM($Q$81:$Q$88)&gt;0,"⚠ A set is missing Goal Reps",IF(IF($C$79="",1=0,COUNTIF($P$7:$P$214,$C$79)&lt;2),"⚠ Superset "&amp;$C$79&amp;" needs 2+ exercises",IF($C$77&lt;&gt;"",IFERROR("✓ "&amp;INDEX('Exercise Library'!$C$2:$C$319,MATCH($C$77,'Exercise Library'!$B$2:$B$319,0))&amp;IF(INDEX('Exercise Library'!$D$2:$D$319,MATCH($C$77,'Exercise Library'!$B$2:$B$319,0))="Yes"," · demo video","")&amp;" · "&amp;COUNT($E$81:$E$88)&amp;" sets","⚠ Not in the library — use Custom"),"✓ Custom ("&amp;$E$78&amp;") · "&amp;COUNT($E$81:$E$88)&amp;" sets"))))))),"⚠ Check this row")</f>
      </c>
      <c r="P77">
        <f>IF(OR($C$77&lt;&gt;"",$C$78&lt;&gt;""),$C$79,"")</f>
      </c>
    </row>
    <row r="78" spans="2:6" x14ac:dyDescent="0.25">
      <c r="B78" s="18" t="s">
        <v>46</v>
      </c>
      <c r="C78" s="5"/>
      <c r="D78" s="5"/>
      <c r="E78" s="5"/>
      <c r="F78" s="18" t="s">
        <v>47</v>
      </c>
    </row>
    <row r="79" ht="22" customHeight="1" spans="2:6" x14ac:dyDescent="0.25">
      <c r="B79" s="18" t="s">
        <v>48</v>
      </c>
      <c r="C79" s="22"/>
      <c r="D79" s="18" t="s">
        <v>49</v>
      </c>
      <c r="E79" s="5"/>
      <c r="F79" s="5"/>
    </row>
    <row r="80" spans="2:6" x14ac:dyDescent="0.25">
      <c r="B80" s="23" t="s">
        <v>50</v>
      </c>
      <c r="C80" s="23" t="s">
        <v>51</v>
      </c>
      <c r="D80" s="23" t="s">
        <v>52</v>
      </c>
      <c r="E80" s="23" t="s">
        <v>53</v>
      </c>
      <c r="F80" s="23" t="s">
        <v>54</v>
      </c>
    </row>
    <row r="81" spans="2:17" x14ac:dyDescent="0.25">
      <c r="B81" s="24">
        <v>1</v>
      </c>
      <c r="C81" s="22"/>
      <c r="D81" s="22"/>
      <c r="E81" s="22"/>
      <c r="F81" s="22"/>
      <c r="Q81">
        <f>IF(AND($E81="",COUNTA($C81:$D81,$F81)&gt;0),1,0)</f>
      </c>
    </row>
    <row r="82" spans="2:17" x14ac:dyDescent="0.25">
      <c r="B82" s="24">
        <v>2</v>
      </c>
      <c r="C82" s="22"/>
      <c r="D82" s="22"/>
      <c r="E82" s="22"/>
      <c r="F82" s="22"/>
      <c r="Q82">
        <f>IF(AND($E82="",COUNTA($C82:$D82,$F82)&gt;0),1,0)</f>
      </c>
    </row>
    <row r="83" spans="2:17" x14ac:dyDescent="0.25">
      <c r="B83" s="24">
        <v>3</v>
      </c>
      <c r="C83" s="22"/>
      <c r="D83" s="22"/>
      <c r="E83" s="22"/>
      <c r="F83" s="22"/>
      <c r="Q83">
        <f>IF(AND($E83="",COUNTA($C83:$D83,$F83)&gt;0),1,0)</f>
      </c>
    </row>
    <row r="84" spans="2:17" x14ac:dyDescent="0.25">
      <c r="B84" s="24">
        <v>4</v>
      </c>
      <c r="C84" s="22"/>
      <c r="D84" s="22"/>
      <c r="E84" s="22"/>
      <c r="F84" s="22"/>
      <c r="Q84">
        <f>IF(AND($E84="",COUNTA($C84:$D84,$F84)&gt;0),1,0)</f>
      </c>
    </row>
    <row r="85" spans="2:17" x14ac:dyDescent="0.25">
      <c r="B85" s="24">
        <v>5</v>
      </c>
      <c r="C85" s="22"/>
      <c r="D85" s="22"/>
      <c r="E85" s="22"/>
      <c r="F85" s="22"/>
      <c r="Q85">
        <f>IF(AND($E85="",COUNTA($C85:$D85,$F85)&gt;0),1,0)</f>
      </c>
    </row>
    <row r="86" spans="2:17" x14ac:dyDescent="0.25">
      <c r="B86" s="24">
        <v>6</v>
      </c>
      <c r="C86" s="22"/>
      <c r="D86" s="22"/>
      <c r="E86" s="22"/>
      <c r="F86" s="22"/>
      <c r="Q86">
        <f>IF(AND($E86="",COUNTA($C86:$D86,$F86)&gt;0),1,0)</f>
      </c>
    </row>
    <row r="87" spans="2:17" x14ac:dyDescent="0.25">
      <c r="B87" s="24">
        <v>7</v>
      </c>
      <c r="C87" s="22"/>
      <c r="D87" s="22"/>
      <c r="E87" s="22"/>
      <c r="F87" s="22"/>
      <c r="Q87">
        <f>IF(AND($E87="",COUNTA($C87:$D87,$F87)&gt;0),1,0)</f>
      </c>
    </row>
    <row r="88" spans="2:17" x14ac:dyDescent="0.25">
      <c r="B88" s="24">
        <v>8</v>
      </c>
      <c r="C88" s="22"/>
      <c r="D88" s="22"/>
      <c r="E88" s="22"/>
      <c r="F88" s="22"/>
      <c r="Q88">
        <f>IF(AND($E88="",COUNTA($C88:$D88,$F88)&gt;0),1,0)</f>
      </c>
    </row>
    <row r="90" spans="2:6" x14ac:dyDescent="0.25">
      <c r="B90" s="18" t="s">
        <v>44</v>
      </c>
      <c r="C90" s="19"/>
      <c r="D90" s="19"/>
      <c r="E90" s="5"/>
      <c r="F90" s="5"/>
    </row>
    <row r="91" ht="24" customHeight="1" spans="2:16" x14ac:dyDescent="0.25">
      <c r="B91" s="20" t="s">
        <v>60</v>
      </c>
      <c r="C91" s="21"/>
      <c r="D91" s="21"/>
      <c r="E91" s="21"/>
      <c r="F91" s="21"/>
      <c r="G91" s="4">
        <f>IFERROR(IF(AND($C$91="",$C$92=""),IF(COUNTA($C$90:$F$90,$E$93,$C$95:$F$102)+COUNTA($E$92,$C$93)&gt;0,"⚠ Pick an exercise for this card",""),IF(AND($C$91&lt;&gt;"",$C$92&lt;&gt;""),"⚠ Use the library OR a custom exercise, not both",IF(AND($C$92&lt;&gt;"",$E$92=""),"⚠ Pick a muscle group for the custom exercise",IF(COUNT($E$95:$E$102)=0,"⚠ Enter Goal Reps for at least one set",IF(SUM($Q$95:$Q$102)&gt;0,"⚠ A set is missing Goal Reps",IF(IF($C$93="",1=0,COUNTIF($P$7:$P$214,$C$93)&lt;2),"⚠ Superset "&amp;$C$93&amp;" needs 2+ exercises",IF($C$91&lt;&gt;"",IFERROR("✓ "&amp;INDEX('Exercise Library'!$C$2:$C$319,MATCH($C$91,'Exercise Library'!$B$2:$B$319,0))&amp;IF(INDEX('Exercise Library'!$D$2:$D$319,MATCH($C$91,'Exercise Library'!$B$2:$B$319,0))="Yes"," · demo video","")&amp;" · "&amp;COUNT($E$95:$E$102)&amp;" sets","⚠ Not in the library — use Custom"),"✓ Custom ("&amp;$E$92&amp;") · "&amp;COUNT($E$95:$E$102)&amp;" sets"))))))),"⚠ Check this row")</f>
      </c>
      <c r="P91">
        <f>IF(OR($C$91&lt;&gt;"",$C$92&lt;&gt;""),$C$93,"")</f>
      </c>
    </row>
    <row r="92" spans="2:6" x14ac:dyDescent="0.25">
      <c r="B92" s="18" t="s">
        <v>46</v>
      </c>
      <c r="C92" s="5"/>
      <c r="D92" s="5"/>
      <c r="E92" s="5"/>
      <c r="F92" s="18" t="s">
        <v>47</v>
      </c>
    </row>
    <row r="93" ht="22" customHeight="1" spans="2:6" x14ac:dyDescent="0.25">
      <c r="B93" s="18" t="s">
        <v>48</v>
      </c>
      <c r="C93" s="22"/>
      <c r="D93" s="18" t="s">
        <v>49</v>
      </c>
      <c r="E93" s="5"/>
      <c r="F93" s="5"/>
    </row>
    <row r="94" spans="2:6" x14ac:dyDescent="0.25">
      <c r="B94" s="23" t="s">
        <v>50</v>
      </c>
      <c r="C94" s="23" t="s">
        <v>51</v>
      </c>
      <c r="D94" s="23" t="s">
        <v>52</v>
      </c>
      <c r="E94" s="23" t="s">
        <v>53</v>
      </c>
      <c r="F94" s="23" t="s">
        <v>54</v>
      </c>
    </row>
    <row r="95" spans="2:17" x14ac:dyDescent="0.25">
      <c r="B95" s="24">
        <v>1</v>
      </c>
      <c r="C95" s="22"/>
      <c r="D95" s="22"/>
      <c r="E95" s="22"/>
      <c r="F95" s="22"/>
      <c r="Q95">
        <f>IF(AND($E95="",COUNTA($C95:$D95,$F95)&gt;0),1,0)</f>
      </c>
    </row>
    <row r="96" spans="2:17" x14ac:dyDescent="0.25">
      <c r="B96" s="24">
        <v>2</v>
      </c>
      <c r="C96" s="22"/>
      <c r="D96" s="22"/>
      <c r="E96" s="22"/>
      <c r="F96" s="22"/>
      <c r="Q96">
        <f>IF(AND($E96="",COUNTA($C96:$D96,$F96)&gt;0),1,0)</f>
      </c>
    </row>
    <row r="97" spans="2:17" x14ac:dyDescent="0.25">
      <c r="B97" s="24">
        <v>3</v>
      </c>
      <c r="C97" s="22"/>
      <c r="D97" s="22"/>
      <c r="E97" s="22"/>
      <c r="F97" s="22"/>
      <c r="Q97">
        <f>IF(AND($E97="",COUNTA($C97:$D97,$F97)&gt;0),1,0)</f>
      </c>
    </row>
    <row r="98" spans="2:17" x14ac:dyDescent="0.25">
      <c r="B98" s="24">
        <v>4</v>
      </c>
      <c r="C98" s="22"/>
      <c r="D98" s="22"/>
      <c r="E98" s="22"/>
      <c r="F98" s="22"/>
      <c r="Q98">
        <f>IF(AND($E98="",COUNTA($C98:$D98,$F98)&gt;0),1,0)</f>
      </c>
    </row>
    <row r="99" spans="2:17" x14ac:dyDescent="0.25">
      <c r="B99" s="24">
        <v>5</v>
      </c>
      <c r="C99" s="22"/>
      <c r="D99" s="22"/>
      <c r="E99" s="22"/>
      <c r="F99" s="22"/>
      <c r="Q99">
        <f>IF(AND($E99="",COUNTA($C99:$D99,$F99)&gt;0),1,0)</f>
      </c>
    </row>
    <row r="100" spans="2:17" x14ac:dyDescent="0.25">
      <c r="B100" s="24">
        <v>6</v>
      </c>
      <c r="C100" s="22"/>
      <c r="D100" s="22"/>
      <c r="E100" s="22"/>
      <c r="F100" s="22"/>
      <c r="Q100">
        <f>IF(AND($E100="",COUNTA($C100:$D100,$F100)&gt;0),1,0)</f>
      </c>
    </row>
    <row r="101" spans="2:17" x14ac:dyDescent="0.25">
      <c r="B101" s="24">
        <v>7</v>
      </c>
      <c r="C101" s="22"/>
      <c r="D101" s="22"/>
      <c r="E101" s="22"/>
      <c r="F101" s="22"/>
      <c r="Q101">
        <f>IF(AND($E101="",COUNTA($C101:$D101,$F101)&gt;0),1,0)</f>
      </c>
    </row>
    <row r="102" spans="2:17" x14ac:dyDescent="0.25">
      <c r="B102" s="24">
        <v>8</v>
      </c>
      <c r="C102" s="22"/>
      <c r="D102" s="22"/>
      <c r="E102" s="22"/>
      <c r="F102" s="22"/>
      <c r="Q102">
        <f>IF(AND($E102="",COUNTA($C102:$D102,$F102)&gt;0),1,0)</f>
      </c>
    </row>
    <row r="104" spans="2:6" x14ac:dyDescent="0.25">
      <c r="B104" s="18" t="s">
        <v>44</v>
      </c>
      <c r="C104" s="19"/>
      <c r="D104" s="19"/>
      <c r="E104" s="5"/>
      <c r="F104" s="5"/>
    </row>
    <row r="105" ht="24" customHeight="1" spans="2:16" x14ac:dyDescent="0.25">
      <c r="B105" s="20" t="s">
        <v>61</v>
      </c>
      <c r="C105" s="21"/>
      <c r="D105" s="21"/>
      <c r="E105" s="21"/>
      <c r="F105" s="21"/>
      <c r="G105" s="4">
        <f>IFERROR(IF(AND($C$105="",$C$106=""),IF(COUNTA($C$104:$F$104,$E$107,$C$109:$F$116)+COUNTA($E$106,$C$107)&gt;0,"⚠ Pick an exercise for this card",""),IF(AND($C$105&lt;&gt;"",$C$106&lt;&gt;""),"⚠ Use the library OR a custom exercise, not both",IF(AND($C$106&lt;&gt;"",$E$106=""),"⚠ Pick a muscle group for the custom exercise",IF(COUNT($E$109:$E$116)=0,"⚠ Enter Goal Reps for at least one set",IF(SUM($Q$109:$Q$116)&gt;0,"⚠ A set is missing Goal Reps",IF(IF($C$107="",1=0,COUNTIF($P$7:$P$214,$C$107)&lt;2),"⚠ Superset "&amp;$C$107&amp;" needs 2+ exercises",IF($C$105&lt;&gt;"",IFERROR("✓ "&amp;INDEX('Exercise Library'!$C$2:$C$319,MATCH($C$105,'Exercise Library'!$B$2:$B$319,0))&amp;IF(INDEX('Exercise Library'!$D$2:$D$319,MATCH($C$105,'Exercise Library'!$B$2:$B$319,0))="Yes"," · demo video","")&amp;" · "&amp;COUNT($E$109:$E$116)&amp;" sets","⚠ Not in the library — use Custom"),"✓ Custom ("&amp;$E$106&amp;") · "&amp;COUNT($E$109:$E$116)&amp;" sets"))))))),"⚠ Check this row")</f>
      </c>
      <c r="P105">
        <f>IF(OR($C$105&lt;&gt;"",$C$106&lt;&gt;""),$C$107,"")</f>
      </c>
    </row>
    <row r="106" spans="2:6" x14ac:dyDescent="0.25">
      <c r="B106" s="18" t="s">
        <v>46</v>
      </c>
      <c r="C106" s="5"/>
      <c r="D106" s="5"/>
      <c r="E106" s="5"/>
      <c r="F106" s="18" t="s">
        <v>47</v>
      </c>
    </row>
    <row r="107" ht="22" customHeight="1" spans="2:6" x14ac:dyDescent="0.25">
      <c r="B107" s="18" t="s">
        <v>48</v>
      </c>
      <c r="C107" s="22"/>
      <c r="D107" s="18" t="s">
        <v>49</v>
      </c>
      <c r="E107" s="5"/>
      <c r="F107" s="5"/>
    </row>
    <row r="108" spans="2:6" x14ac:dyDescent="0.25">
      <c r="B108" s="23" t="s">
        <v>50</v>
      </c>
      <c r="C108" s="23" t="s">
        <v>51</v>
      </c>
      <c r="D108" s="23" t="s">
        <v>52</v>
      </c>
      <c r="E108" s="23" t="s">
        <v>53</v>
      </c>
      <c r="F108" s="23" t="s">
        <v>54</v>
      </c>
    </row>
    <row r="109" spans="2:17" x14ac:dyDescent="0.25">
      <c r="B109" s="24">
        <v>1</v>
      </c>
      <c r="C109" s="22"/>
      <c r="D109" s="22"/>
      <c r="E109" s="22"/>
      <c r="F109" s="22"/>
      <c r="Q109">
        <f>IF(AND($E109="",COUNTA($C109:$D109,$F109)&gt;0),1,0)</f>
      </c>
    </row>
    <row r="110" spans="2:17" x14ac:dyDescent="0.25">
      <c r="B110" s="24">
        <v>2</v>
      </c>
      <c r="C110" s="22"/>
      <c r="D110" s="22"/>
      <c r="E110" s="22"/>
      <c r="F110" s="22"/>
      <c r="Q110">
        <f>IF(AND($E110="",COUNTA($C110:$D110,$F110)&gt;0),1,0)</f>
      </c>
    </row>
    <row r="111" spans="2:17" x14ac:dyDescent="0.25">
      <c r="B111" s="24">
        <v>3</v>
      </c>
      <c r="C111" s="22"/>
      <c r="D111" s="22"/>
      <c r="E111" s="22"/>
      <c r="F111" s="22"/>
      <c r="Q111">
        <f>IF(AND($E111="",COUNTA($C111:$D111,$F111)&gt;0),1,0)</f>
      </c>
    </row>
    <row r="112" spans="2:17" x14ac:dyDescent="0.25">
      <c r="B112" s="24">
        <v>4</v>
      </c>
      <c r="C112" s="22"/>
      <c r="D112" s="22"/>
      <c r="E112" s="22"/>
      <c r="F112" s="22"/>
      <c r="Q112">
        <f>IF(AND($E112="",COUNTA($C112:$D112,$F112)&gt;0),1,0)</f>
      </c>
    </row>
    <row r="113" spans="2:17" x14ac:dyDescent="0.25">
      <c r="B113" s="24">
        <v>5</v>
      </c>
      <c r="C113" s="22"/>
      <c r="D113" s="22"/>
      <c r="E113" s="22"/>
      <c r="F113" s="22"/>
      <c r="Q113">
        <f>IF(AND($E113="",COUNTA($C113:$D113,$F113)&gt;0),1,0)</f>
      </c>
    </row>
    <row r="114" spans="2:17" x14ac:dyDescent="0.25">
      <c r="B114" s="24">
        <v>6</v>
      </c>
      <c r="C114" s="22"/>
      <c r="D114" s="22"/>
      <c r="E114" s="22"/>
      <c r="F114" s="22"/>
      <c r="Q114">
        <f>IF(AND($E114="",COUNTA($C114:$D114,$F114)&gt;0),1,0)</f>
      </c>
    </row>
    <row r="115" spans="2:17" x14ac:dyDescent="0.25">
      <c r="B115" s="24">
        <v>7</v>
      </c>
      <c r="C115" s="22"/>
      <c r="D115" s="22"/>
      <c r="E115" s="22"/>
      <c r="F115" s="22"/>
      <c r="Q115">
        <f>IF(AND($E115="",COUNTA($C115:$D115,$F115)&gt;0),1,0)</f>
      </c>
    </row>
    <row r="116" spans="2:17" x14ac:dyDescent="0.25">
      <c r="B116" s="24">
        <v>8</v>
      </c>
      <c r="C116" s="22"/>
      <c r="D116" s="22"/>
      <c r="E116" s="22"/>
      <c r="F116" s="22"/>
      <c r="Q116">
        <f>IF(AND($E116="",COUNTA($C116:$D116,$F116)&gt;0),1,0)</f>
      </c>
    </row>
    <row r="118" spans="2:6" x14ac:dyDescent="0.25">
      <c r="B118" s="18" t="s">
        <v>44</v>
      </c>
      <c r="C118" s="19"/>
      <c r="D118" s="19"/>
      <c r="E118" s="5"/>
      <c r="F118" s="5"/>
    </row>
    <row r="119" ht="24" customHeight="1" spans="2:16" x14ac:dyDescent="0.25">
      <c r="B119" s="20" t="s">
        <v>62</v>
      </c>
      <c r="C119" s="21"/>
      <c r="D119" s="21"/>
      <c r="E119" s="21"/>
      <c r="F119" s="21"/>
      <c r="G119" s="4">
        <f>IFERROR(IF(AND($C$119="",$C$120=""),IF(COUNTA($C$118:$F$118,$E$121,$C$123:$F$130)+COUNTA($E$120,$C$121)&gt;0,"⚠ Pick an exercise for this card",""),IF(AND($C$119&lt;&gt;"",$C$120&lt;&gt;""),"⚠ Use the library OR a custom exercise, not both",IF(AND($C$120&lt;&gt;"",$E$120=""),"⚠ Pick a muscle group for the custom exercise",IF(COUNT($E$123:$E$130)=0,"⚠ Enter Goal Reps for at least one set",IF(SUM($Q$123:$Q$130)&gt;0,"⚠ A set is missing Goal Reps",IF(IF($C$121="",1=0,COUNTIF($P$7:$P$214,$C$121)&lt;2),"⚠ Superset "&amp;$C$121&amp;" needs 2+ exercises",IF($C$119&lt;&gt;"",IFERROR("✓ "&amp;INDEX('Exercise Library'!$C$2:$C$319,MATCH($C$119,'Exercise Library'!$B$2:$B$319,0))&amp;IF(INDEX('Exercise Library'!$D$2:$D$319,MATCH($C$119,'Exercise Library'!$B$2:$B$319,0))="Yes"," · demo video","")&amp;" · "&amp;COUNT($E$123:$E$130)&amp;" sets","⚠ Not in the library — use Custom"),"✓ Custom ("&amp;$E$120&amp;") · "&amp;COUNT($E$123:$E$130)&amp;" sets"))))))),"⚠ Check this row")</f>
      </c>
      <c r="P119">
        <f>IF(OR($C$119&lt;&gt;"",$C$120&lt;&gt;""),$C$121,"")</f>
      </c>
    </row>
    <row r="120" spans="2:6" x14ac:dyDescent="0.25">
      <c r="B120" s="18" t="s">
        <v>46</v>
      </c>
      <c r="C120" s="5"/>
      <c r="D120" s="5"/>
      <c r="E120" s="5"/>
      <c r="F120" s="18" t="s">
        <v>47</v>
      </c>
    </row>
    <row r="121" ht="22" customHeight="1" spans="2:6" x14ac:dyDescent="0.25">
      <c r="B121" s="18" t="s">
        <v>48</v>
      </c>
      <c r="C121" s="22"/>
      <c r="D121" s="18" t="s">
        <v>49</v>
      </c>
      <c r="E121" s="5"/>
      <c r="F121" s="5"/>
    </row>
    <row r="122" spans="2:6" x14ac:dyDescent="0.25">
      <c r="B122" s="23" t="s">
        <v>50</v>
      </c>
      <c r="C122" s="23" t="s">
        <v>51</v>
      </c>
      <c r="D122" s="23" t="s">
        <v>52</v>
      </c>
      <c r="E122" s="23" t="s">
        <v>53</v>
      </c>
      <c r="F122" s="23" t="s">
        <v>54</v>
      </c>
    </row>
    <row r="123" spans="2:17" x14ac:dyDescent="0.25">
      <c r="B123" s="24">
        <v>1</v>
      </c>
      <c r="C123" s="22"/>
      <c r="D123" s="22"/>
      <c r="E123" s="22"/>
      <c r="F123" s="22"/>
      <c r="Q123">
        <f>IF(AND($E123="",COUNTA($C123:$D123,$F123)&gt;0),1,0)</f>
      </c>
    </row>
    <row r="124" spans="2:17" x14ac:dyDescent="0.25">
      <c r="B124" s="24">
        <v>2</v>
      </c>
      <c r="C124" s="22"/>
      <c r="D124" s="22"/>
      <c r="E124" s="22"/>
      <c r="F124" s="22"/>
      <c r="Q124">
        <f>IF(AND($E124="",COUNTA($C124:$D124,$F124)&gt;0),1,0)</f>
      </c>
    </row>
    <row r="125" spans="2:17" x14ac:dyDescent="0.25">
      <c r="B125" s="24">
        <v>3</v>
      </c>
      <c r="C125" s="22"/>
      <c r="D125" s="22"/>
      <c r="E125" s="22"/>
      <c r="F125" s="22"/>
      <c r="Q125">
        <f>IF(AND($E125="",COUNTA($C125:$D125,$F125)&gt;0),1,0)</f>
      </c>
    </row>
    <row r="126" spans="2:17" x14ac:dyDescent="0.25">
      <c r="B126" s="24">
        <v>4</v>
      </c>
      <c r="C126" s="22"/>
      <c r="D126" s="22"/>
      <c r="E126" s="22"/>
      <c r="F126" s="22"/>
      <c r="Q126">
        <f>IF(AND($E126="",COUNTA($C126:$D126,$F126)&gt;0),1,0)</f>
      </c>
    </row>
    <row r="127" spans="2:17" x14ac:dyDescent="0.25">
      <c r="B127" s="24">
        <v>5</v>
      </c>
      <c r="C127" s="22"/>
      <c r="D127" s="22"/>
      <c r="E127" s="22"/>
      <c r="F127" s="22"/>
      <c r="Q127">
        <f>IF(AND($E127="",COUNTA($C127:$D127,$F127)&gt;0),1,0)</f>
      </c>
    </row>
    <row r="128" spans="2:17" x14ac:dyDescent="0.25">
      <c r="B128" s="24">
        <v>6</v>
      </c>
      <c r="C128" s="22"/>
      <c r="D128" s="22"/>
      <c r="E128" s="22"/>
      <c r="F128" s="22"/>
      <c r="Q128">
        <f>IF(AND($E128="",COUNTA($C128:$D128,$F128)&gt;0),1,0)</f>
      </c>
    </row>
    <row r="129" spans="2:17" x14ac:dyDescent="0.25">
      <c r="B129" s="24">
        <v>7</v>
      </c>
      <c r="C129" s="22"/>
      <c r="D129" s="22"/>
      <c r="E129" s="22"/>
      <c r="F129" s="22"/>
      <c r="Q129">
        <f>IF(AND($E129="",COUNTA($C129:$D129,$F129)&gt;0),1,0)</f>
      </c>
    </row>
    <row r="130" spans="2:17" x14ac:dyDescent="0.25">
      <c r="B130" s="24">
        <v>8</v>
      </c>
      <c r="C130" s="22"/>
      <c r="D130" s="22"/>
      <c r="E130" s="22"/>
      <c r="F130" s="22"/>
      <c r="Q130">
        <f>IF(AND($E130="",COUNTA($C130:$D130,$F130)&gt;0),1,0)</f>
      </c>
    </row>
    <row r="132" spans="2:6" x14ac:dyDescent="0.25">
      <c r="B132" s="18" t="s">
        <v>44</v>
      </c>
      <c r="C132" s="19"/>
      <c r="D132" s="19"/>
      <c r="E132" s="5"/>
      <c r="F132" s="5"/>
    </row>
    <row r="133" ht="24" customHeight="1" spans="2:16" x14ac:dyDescent="0.25">
      <c r="B133" s="20" t="s">
        <v>63</v>
      </c>
      <c r="C133" s="21"/>
      <c r="D133" s="21"/>
      <c r="E133" s="21"/>
      <c r="F133" s="21"/>
      <c r="G133" s="4">
        <f>IFERROR(IF(AND($C$133="",$C$134=""),IF(COUNTA($C$132:$F$132,$E$135,$C$137:$F$144)+COUNTA($E$134,$C$135)&gt;0,"⚠ Pick an exercise for this card",""),IF(AND($C$133&lt;&gt;"",$C$134&lt;&gt;""),"⚠ Use the library OR a custom exercise, not both",IF(AND($C$134&lt;&gt;"",$E$134=""),"⚠ Pick a muscle group for the custom exercise",IF(COUNT($E$137:$E$144)=0,"⚠ Enter Goal Reps for at least one set",IF(SUM($Q$137:$Q$144)&gt;0,"⚠ A set is missing Goal Reps",IF(IF($C$135="",1=0,COUNTIF($P$7:$P$214,$C$135)&lt;2),"⚠ Superset "&amp;$C$135&amp;" needs 2+ exercises",IF($C$133&lt;&gt;"",IFERROR("✓ "&amp;INDEX('Exercise Library'!$C$2:$C$319,MATCH($C$133,'Exercise Library'!$B$2:$B$319,0))&amp;IF(INDEX('Exercise Library'!$D$2:$D$319,MATCH($C$133,'Exercise Library'!$B$2:$B$319,0))="Yes"," · demo video","")&amp;" · "&amp;COUNT($E$137:$E$144)&amp;" sets","⚠ Not in the library — use Custom"),"✓ Custom ("&amp;$E$134&amp;") · "&amp;COUNT($E$137:$E$144)&amp;" sets"))))))),"⚠ Check this row")</f>
      </c>
      <c r="P133">
        <f>IF(OR($C$133&lt;&gt;"",$C$134&lt;&gt;""),$C$135,"")</f>
      </c>
    </row>
    <row r="134" spans="2:6" x14ac:dyDescent="0.25">
      <c r="B134" s="18" t="s">
        <v>46</v>
      </c>
      <c r="C134" s="5"/>
      <c r="D134" s="5"/>
      <c r="E134" s="5"/>
      <c r="F134" s="18" t="s">
        <v>47</v>
      </c>
    </row>
    <row r="135" ht="22" customHeight="1" spans="2:6" x14ac:dyDescent="0.25">
      <c r="B135" s="18" t="s">
        <v>48</v>
      </c>
      <c r="C135" s="22"/>
      <c r="D135" s="18" t="s">
        <v>49</v>
      </c>
      <c r="E135" s="5"/>
      <c r="F135" s="5"/>
    </row>
    <row r="136" spans="2:6" x14ac:dyDescent="0.25">
      <c r="B136" s="23" t="s">
        <v>50</v>
      </c>
      <c r="C136" s="23" t="s">
        <v>51</v>
      </c>
      <c r="D136" s="23" t="s">
        <v>52</v>
      </c>
      <c r="E136" s="23" t="s">
        <v>53</v>
      </c>
      <c r="F136" s="23" t="s">
        <v>54</v>
      </c>
    </row>
    <row r="137" spans="2:17" x14ac:dyDescent="0.25">
      <c r="B137" s="24">
        <v>1</v>
      </c>
      <c r="C137" s="22"/>
      <c r="D137" s="22"/>
      <c r="E137" s="22"/>
      <c r="F137" s="22"/>
      <c r="Q137">
        <f>IF(AND($E137="",COUNTA($C137:$D137,$F137)&gt;0),1,0)</f>
      </c>
    </row>
    <row r="138" spans="2:17" x14ac:dyDescent="0.25">
      <c r="B138" s="24">
        <v>2</v>
      </c>
      <c r="C138" s="22"/>
      <c r="D138" s="22"/>
      <c r="E138" s="22"/>
      <c r="F138" s="22"/>
      <c r="Q138">
        <f>IF(AND($E138="",COUNTA($C138:$D138,$F138)&gt;0),1,0)</f>
      </c>
    </row>
    <row r="139" spans="2:17" x14ac:dyDescent="0.25">
      <c r="B139" s="24">
        <v>3</v>
      </c>
      <c r="C139" s="22"/>
      <c r="D139" s="22"/>
      <c r="E139" s="22"/>
      <c r="F139" s="22"/>
      <c r="Q139">
        <f>IF(AND($E139="",COUNTA($C139:$D139,$F139)&gt;0),1,0)</f>
      </c>
    </row>
    <row r="140" spans="2:17" x14ac:dyDescent="0.25">
      <c r="B140" s="24">
        <v>4</v>
      </c>
      <c r="C140" s="22"/>
      <c r="D140" s="22"/>
      <c r="E140" s="22"/>
      <c r="F140" s="22"/>
      <c r="Q140">
        <f>IF(AND($E140="",COUNTA($C140:$D140,$F140)&gt;0),1,0)</f>
      </c>
    </row>
    <row r="141" spans="2:17" x14ac:dyDescent="0.25">
      <c r="B141" s="24">
        <v>5</v>
      </c>
      <c r="C141" s="22"/>
      <c r="D141" s="22"/>
      <c r="E141" s="22"/>
      <c r="F141" s="22"/>
      <c r="Q141">
        <f>IF(AND($E141="",COUNTA($C141:$D141,$F141)&gt;0),1,0)</f>
      </c>
    </row>
    <row r="142" spans="2:17" x14ac:dyDescent="0.25">
      <c r="B142" s="24">
        <v>6</v>
      </c>
      <c r="C142" s="22"/>
      <c r="D142" s="22"/>
      <c r="E142" s="22"/>
      <c r="F142" s="22"/>
      <c r="Q142">
        <f>IF(AND($E142="",COUNTA($C142:$D142,$F142)&gt;0),1,0)</f>
      </c>
    </row>
    <row r="143" spans="2:17" x14ac:dyDescent="0.25">
      <c r="B143" s="24">
        <v>7</v>
      </c>
      <c r="C143" s="22"/>
      <c r="D143" s="22"/>
      <c r="E143" s="22"/>
      <c r="F143" s="22"/>
      <c r="Q143">
        <f>IF(AND($E143="",COUNTA($C143:$D143,$F143)&gt;0),1,0)</f>
      </c>
    </row>
    <row r="144" spans="2:17" x14ac:dyDescent="0.25">
      <c r="B144" s="24">
        <v>8</v>
      </c>
      <c r="C144" s="22"/>
      <c r="D144" s="22"/>
      <c r="E144" s="22"/>
      <c r="F144" s="22"/>
      <c r="Q144">
        <f>IF(AND($E144="",COUNTA($C144:$D144,$F144)&gt;0),1,0)</f>
      </c>
    </row>
    <row r="146" spans="2:6" x14ac:dyDescent="0.25">
      <c r="B146" s="18" t="s">
        <v>44</v>
      </c>
      <c r="C146" s="19"/>
      <c r="D146" s="19"/>
      <c r="E146" s="5"/>
      <c r="F146" s="5"/>
    </row>
    <row r="147" ht="24" customHeight="1" spans="2:16" x14ac:dyDescent="0.25">
      <c r="B147" s="20" t="s">
        <v>64</v>
      </c>
      <c r="C147" s="21"/>
      <c r="D147" s="21"/>
      <c r="E147" s="21"/>
      <c r="F147" s="21"/>
      <c r="G147" s="4">
        <f>IFERROR(IF(AND($C$147="",$C$148=""),IF(COUNTA($C$146:$F$146,$E$149,$C$151:$F$158)+COUNTA($E$148,$C$149)&gt;0,"⚠ Pick an exercise for this card",""),IF(AND($C$147&lt;&gt;"",$C$148&lt;&gt;""),"⚠ Use the library OR a custom exercise, not both",IF(AND($C$148&lt;&gt;"",$E$148=""),"⚠ Pick a muscle group for the custom exercise",IF(COUNT($E$151:$E$158)=0,"⚠ Enter Goal Reps for at least one set",IF(SUM($Q$151:$Q$158)&gt;0,"⚠ A set is missing Goal Reps",IF(IF($C$149="",1=0,COUNTIF($P$7:$P$214,$C$149)&lt;2),"⚠ Superset "&amp;$C$149&amp;" needs 2+ exercises",IF($C$147&lt;&gt;"",IFERROR("✓ "&amp;INDEX('Exercise Library'!$C$2:$C$319,MATCH($C$147,'Exercise Library'!$B$2:$B$319,0))&amp;IF(INDEX('Exercise Library'!$D$2:$D$319,MATCH($C$147,'Exercise Library'!$B$2:$B$319,0))="Yes"," · demo video","")&amp;" · "&amp;COUNT($E$151:$E$158)&amp;" sets","⚠ Not in the library — use Custom"),"✓ Custom ("&amp;$E$148&amp;") · "&amp;COUNT($E$151:$E$158)&amp;" sets"))))))),"⚠ Check this row")</f>
      </c>
      <c r="P147">
        <f>IF(OR($C$147&lt;&gt;"",$C$148&lt;&gt;""),$C$149,"")</f>
      </c>
    </row>
    <row r="148" spans="2:6" x14ac:dyDescent="0.25">
      <c r="B148" s="18" t="s">
        <v>46</v>
      </c>
      <c r="C148" s="5"/>
      <c r="D148" s="5"/>
      <c r="E148" s="5"/>
      <c r="F148" s="18" t="s">
        <v>47</v>
      </c>
    </row>
    <row r="149" ht="22" customHeight="1" spans="2:6" x14ac:dyDescent="0.25">
      <c r="B149" s="18" t="s">
        <v>48</v>
      </c>
      <c r="C149" s="22"/>
      <c r="D149" s="18" t="s">
        <v>49</v>
      </c>
      <c r="E149" s="5"/>
      <c r="F149" s="5"/>
    </row>
    <row r="150" spans="2:6" x14ac:dyDescent="0.25">
      <c r="B150" s="23" t="s">
        <v>50</v>
      </c>
      <c r="C150" s="23" t="s">
        <v>51</v>
      </c>
      <c r="D150" s="23" t="s">
        <v>52</v>
      </c>
      <c r="E150" s="23" t="s">
        <v>53</v>
      </c>
      <c r="F150" s="23" t="s">
        <v>54</v>
      </c>
    </row>
    <row r="151" spans="2:17" x14ac:dyDescent="0.25">
      <c r="B151" s="24">
        <v>1</v>
      </c>
      <c r="C151" s="22"/>
      <c r="D151" s="22"/>
      <c r="E151" s="22"/>
      <c r="F151" s="22"/>
      <c r="Q151">
        <f>IF(AND($E151="",COUNTA($C151:$D151,$F151)&gt;0),1,0)</f>
      </c>
    </row>
    <row r="152" spans="2:17" x14ac:dyDescent="0.25">
      <c r="B152" s="24">
        <v>2</v>
      </c>
      <c r="C152" s="22"/>
      <c r="D152" s="22"/>
      <c r="E152" s="22"/>
      <c r="F152" s="22"/>
      <c r="Q152">
        <f>IF(AND($E152="",COUNTA($C152:$D152,$F152)&gt;0),1,0)</f>
      </c>
    </row>
    <row r="153" spans="2:17" x14ac:dyDescent="0.25">
      <c r="B153" s="24">
        <v>3</v>
      </c>
      <c r="C153" s="22"/>
      <c r="D153" s="22"/>
      <c r="E153" s="22"/>
      <c r="F153" s="22"/>
      <c r="Q153">
        <f>IF(AND($E153="",COUNTA($C153:$D153,$F153)&gt;0),1,0)</f>
      </c>
    </row>
    <row r="154" spans="2:17" x14ac:dyDescent="0.25">
      <c r="B154" s="24">
        <v>4</v>
      </c>
      <c r="C154" s="22"/>
      <c r="D154" s="22"/>
      <c r="E154" s="22"/>
      <c r="F154" s="22"/>
      <c r="Q154">
        <f>IF(AND($E154="",COUNTA($C154:$D154,$F154)&gt;0),1,0)</f>
      </c>
    </row>
    <row r="155" spans="2:17" x14ac:dyDescent="0.25">
      <c r="B155" s="24">
        <v>5</v>
      </c>
      <c r="C155" s="22"/>
      <c r="D155" s="22"/>
      <c r="E155" s="22"/>
      <c r="F155" s="22"/>
      <c r="Q155">
        <f>IF(AND($E155="",COUNTA($C155:$D155,$F155)&gt;0),1,0)</f>
      </c>
    </row>
    <row r="156" spans="2:17" x14ac:dyDescent="0.25">
      <c r="B156" s="24">
        <v>6</v>
      </c>
      <c r="C156" s="22"/>
      <c r="D156" s="22"/>
      <c r="E156" s="22"/>
      <c r="F156" s="22"/>
      <c r="Q156">
        <f>IF(AND($E156="",COUNTA($C156:$D156,$F156)&gt;0),1,0)</f>
      </c>
    </row>
    <row r="157" spans="2:17" x14ac:dyDescent="0.25">
      <c r="B157" s="24">
        <v>7</v>
      </c>
      <c r="C157" s="22"/>
      <c r="D157" s="22"/>
      <c r="E157" s="22"/>
      <c r="F157" s="22"/>
      <c r="Q157">
        <f>IF(AND($E157="",COUNTA($C157:$D157,$F157)&gt;0),1,0)</f>
      </c>
    </row>
    <row r="158" spans="2:17" x14ac:dyDescent="0.25">
      <c r="B158" s="24">
        <v>8</v>
      </c>
      <c r="C158" s="22"/>
      <c r="D158" s="22"/>
      <c r="E158" s="22"/>
      <c r="F158" s="22"/>
      <c r="Q158">
        <f>IF(AND($E158="",COUNTA($C158:$D158,$F158)&gt;0),1,0)</f>
      </c>
    </row>
    <row r="160" spans="2:6" x14ac:dyDescent="0.25">
      <c r="B160" s="18" t="s">
        <v>44</v>
      </c>
      <c r="C160" s="19"/>
      <c r="D160" s="19"/>
      <c r="E160" s="5"/>
      <c r="F160" s="5"/>
    </row>
    <row r="161" ht="24" customHeight="1" spans="2:16" x14ac:dyDescent="0.25">
      <c r="B161" s="20" t="s">
        <v>65</v>
      </c>
      <c r="C161" s="21"/>
      <c r="D161" s="21"/>
      <c r="E161" s="21"/>
      <c r="F161" s="21"/>
      <c r="G161" s="4">
        <f>IFERROR(IF(AND($C$161="",$C$162=""),IF(COUNTA($C$160:$F$160,$E$163,$C$165:$F$172)+COUNTA($E$162,$C$163)&gt;0,"⚠ Pick an exercise for this card",""),IF(AND($C$161&lt;&gt;"",$C$162&lt;&gt;""),"⚠ Use the library OR a custom exercise, not both",IF(AND($C$162&lt;&gt;"",$E$162=""),"⚠ Pick a muscle group for the custom exercise",IF(COUNT($E$165:$E$172)=0,"⚠ Enter Goal Reps for at least one set",IF(SUM($Q$165:$Q$172)&gt;0,"⚠ A set is missing Goal Reps",IF(IF($C$163="",1=0,COUNTIF($P$7:$P$214,$C$163)&lt;2),"⚠ Superset "&amp;$C$163&amp;" needs 2+ exercises",IF($C$161&lt;&gt;"",IFERROR("✓ "&amp;INDEX('Exercise Library'!$C$2:$C$319,MATCH($C$161,'Exercise Library'!$B$2:$B$319,0))&amp;IF(INDEX('Exercise Library'!$D$2:$D$319,MATCH($C$161,'Exercise Library'!$B$2:$B$319,0))="Yes"," · demo video","")&amp;" · "&amp;COUNT($E$165:$E$172)&amp;" sets","⚠ Not in the library — use Custom"),"✓ Custom ("&amp;$E$162&amp;") · "&amp;COUNT($E$165:$E$172)&amp;" sets"))))))),"⚠ Check this row")</f>
      </c>
      <c r="P161">
        <f>IF(OR($C$161&lt;&gt;"",$C$162&lt;&gt;""),$C$163,"")</f>
      </c>
    </row>
    <row r="162" spans="2:6" x14ac:dyDescent="0.25">
      <c r="B162" s="18" t="s">
        <v>46</v>
      </c>
      <c r="C162" s="5"/>
      <c r="D162" s="5"/>
      <c r="E162" s="5"/>
      <c r="F162" s="18" t="s">
        <v>47</v>
      </c>
    </row>
    <row r="163" ht="22" customHeight="1" spans="2:6" x14ac:dyDescent="0.25">
      <c r="B163" s="18" t="s">
        <v>48</v>
      </c>
      <c r="C163" s="22"/>
      <c r="D163" s="18" t="s">
        <v>49</v>
      </c>
      <c r="E163" s="5"/>
      <c r="F163" s="5"/>
    </row>
    <row r="164" spans="2:6" x14ac:dyDescent="0.25">
      <c r="B164" s="23" t="s">
        <v>50</v>
      </c>
      <c r="C164" s="23" t="s">
        <v>51</v>
      </c>
      <c r="D164" s="23" t="s">
        <v>52</v>
      </c>
      <c r="E164" s="23" t="s">
        <v>53</v>
      </c>
      <c r="F164" s="23" t="s">
        <v>54</v>
      </c>
    </row>
    <row r="165" spans="2:17" x14ac:dyDescent="0.25">
      <c r="B165" s="24">
        <v>1</v>
      </c>
      <c r="C165" s="22"/>
      <c r="D165" s="22"/>
      <c r="E165" s="22"/>
      <c r="F165" s="22"/>
      <c r="Q165">
        <f>IF(AND($E165="",COUNTA($C165:$D165,$F165)&gt;0),1,0)</f>
      </c>
    </row>
    <row r="166" spans="2:17" x14ac:dyDescent="0.25">
      <c r="B166" s="24">
        <v>2</v>
      </c>
      <c r="C166" s="22"/>
      <c r="D166" s="22"/>
      <c r="E166" s="22"/>
      <c r="F166" s="22"/>
      <c r="Q166">
        <f>IF(AND($E166="",COUNTA($C166:$D166,$F166)&gt;0),1,0)</f>
      </c>
    </row>
    <row r="167" spans="2:17" x14ac:dyDescent="0.25">
      <c r="B167" s="24">
        <v>3</v>
      </c>
      <c r="C167" s="22"/>
      <c r="D167" s="22"/>
      <c r="E167" s="22"/>
      <c r="F167" s="22"/>
      <c r="Q167">
        <f>IF(AND($E167="",COUNTA($C167:$D167,$F167)&gt;0),1,0)</f>
      </c>
    </row>
    <row r="168" spans="2:17" x14ac:dyDescent="0.25">
      <c r="B168" s="24">
        <v>4</v>
      </c>
      <c r="C168" s="22"/>
      <c r="D168" s="22"/>
      <c r="E168" s="22"/>
      <c r="F168" s="22"/>
      <c r="Q168">
        <f>IF(AND($E168="",COUNTA($C168:$D168,$F168)&gt;0),1,0)</f>
      </c>
    </row>
    <row r="169" spans="2:17" x14ac:dyDescent="0.25">
      <c r="B169" s="24">
        <v>5</v>
      </c>
      <c r="C169" s="22"/>
      <c r="D169" s="22"/>
      <c r="E169" s="22"/>
      <c r="F169" s="22"/>
      <c r="Q169">
        <f>IF(AND($E169="",COUNTA($C169:$D169,$F169)&gt;0),1,0)</f>
      </c>
    </row>
    <row r="170" spans="2:17" x14ac:dyDescent="0.25">
      <c r="B170" s="24">
        <v>6</v>
      </c>
      <c r="C170" s="22"/>
      <c r="D170" s="22"/>
      <c r="E170" s="22"/>
      <c r="F170" s="22"/>
      <c r="Q170">
        <f>IF(AND($E170="",COUNTA($C170:$D170,$F170)&gt;0),1,0)</f>
      </c>
    </row>
    <row r="171" spans="2:17" x14ac:dyDescent="0.25">
      <c r="B171" s="24">
        <v>7</v>
      </c>
      <c r="C171" s="22"/>
      <c r="D171" s="22"/>
      <c r="E171" s="22"/>
      <c r="F171" s="22"/>
      <c r="Q171">
        <f>IF(AND($E171="",COUNTA($C171:$D171,$F171)&gt;0),1,0)</f>
      </c>
    </row>
    <row r="172" spans="2:17" x14ac:dyDescent="0.25">
      <c r="B172" s="24">
        <v>8</v>
      </c>
      <c r="C172" s="22"/>
      <c r="D172" s="22"/>
      <c r="E172" s="22"/>
      <c r="F172" s="22"/>
      <c r="Q172">
        <f>IF(AND($E172="",COUNTA($C172:$D172,$F172)&gt;0),1,0)</f>
      </c>
    </row>
    <row r="174" spans="2:6" x14ac:dyDescent="0.25">
      <c r="B174" s="18" t="s">
        <v>44</v>
      </c>
      <c r="C174" s="19"/>
      <c r="D174" s="19"/>
      <c r="E174" s="5"/>
      <c r="F174" s="5"/>
    </row>
    <row r="175" ht="24" customHeight="1" spans="2:16" x14ac:dyDescent="0.25">
      <c r="B175" s="20" t="s">
        <v>66</v>
      </c>
      <c r="C175" s="21"/>
      <c r="D175" s="21"/>
      <c r="E175" s="21"/>
      <c r="F175" s="21"/>
      <c r="G175" s="4">
        <f>IFERROR(IF(AND($C$175="",$C$176=""),IF(COUNTA($C$174:$F$174,$E$177,$C$179:$F$186)+COUNTA($E$176,$C$177)&gt;0,"⚠ Pick an exercise for this card",""),IF(AND($C$175&lt;&gt;"",$C$176&lt;&gt;""),"⚠ Use the library OR a custom exercise, not both",IF(AND($C$176&lt;&gt;"",$E$176=""),"⚠ Pick a muscle group for the custom exercise",IF(COUNT($E$179:$E$186)=0,"⚠ Enter Goal Reps for at least one set",IF(SUM($Q$179:$Q$186)&gt;0,"⚠ A set is missing Goal Reps",IF(IF($C$177="",1=0,COUNTIF($P$7:$P$214,$C$177)&lt;2),"⚠ Superset "&amp;$C$177&amp;" needs 2+ exercises",IF($C$175&lt;&gt;"",IFERROR("✓ "&amp;INDEX('Exercise Library'!$C$2:$C$319,MATCH($C$175,'Exercise Library'!$B$2:$B$319,0))&amp;IF(INDEX('Exercise Library'!$D$2:$D$319,MATCH($C$175,'Exercise Library'!$B$2:$B$319,0))="Yes"," · demo video","")&amp;" · "&amp;COUNT($E$179:$E$186)&amp;" sets","⚠ Not in the library — use Custom"),"✓ Custom ("&amp;$E$176&amp;") · "&amp;COUNT($E$179:$E$186)&amp;" sets"))))))),"⚠ Check this row")</f>
      </c>
      <c r="P175">
        <f>IF(OR($C$175&lt;&gt;"",$C$176&lt;&gt;""),$C$177,"")</f>
      </c>
    </row>
    <row r="176" spans="2:6" x14ac:dyDescent="0.25">
      <c r="B176" s="18" t="s">
        <v>46</v>
      </c>
      <c r="C176" s="5"/>
      <c r="D176" s="5"/>
      <c r="E176" s="5"/>
      <c r="F176" s="18" t="s">
        <v>47</v>
      </c>
    </row>
    <row r="177" ht="22" customHeight="1" spans="2:6" x14ac:dyDescent="0.25">
      <c r="B177" s="18" t="s">
        <v>48</v>
      </c>
      <c r="C177" s="22"/>
      <c r="D177" s="18" t="s">
        <v>49</v>
      </c>
      <c r="E177" s="5"/>
      <c r="F177" s="5"/>
    </row>
    <row r="178" spans="2:6" x14ac:dyDescent="0.25">
      <c r="B178" s="23" t="s">
        <v>50</v>
      </c>
      <c r="C178" s="23" t="s">
        <v>51</v>
      </c>
      <c r="D178" s="23" t="s">
        <v>52</v>
      </c>
      <c r="E178" s="23" t="s">
        <v>53</v>
      </c>
      <c r="F178" s="23" t="s">
        <v>54</v>
      </c>
    </row>
    <row r="179" spans="2:17" x14ac:dyDescent="0.25">
      <c r="B179" s="24">
        <v>1</v>
      </c>
      <c r="C179" s="22"/>
      <c r="D179" s="22"/>
      <c r="E179" s="22"/>
      <c r="F179" s="22"/>
      <c r="Q179">
        <f>IF(AND($E179="",COUNTA($C179:$D179,$F179)&gt;0),1,0)</f>
      </c>
    </row>
    <row r="180" spans="2:17" x14ac:dyDescent="0.25">
      <c r="B180" s="24">
        <v>2</v>
      </c>
      <c r="C180" s="22"/>
      <c r="D180" s="22"/>
      <c r="E180" s="22"/>
      <c r="F180" s="22"/>
      <c r="Q180">
        <f>IF(AND($E180="",COUNTA($C180:$D180,$F180)&gt;0),1,0)</f>
      </c>
    </row>
    <row r="181" spans="2:17" x14ac:dyDescent="0.25">
      <c r="B181" s="24">
        <v>3</v>
      </c>
      <c r="C181" s="22"/>
      <c r="D181" s="22"/>
      <c r="E181" s="22"/>
      <c r="F181" s="22"/>
      <c r="Q181">
        <f>IF(AND($E181="",COUNTA($C181:$D181,$F181)&gt;0),1,0)</f>
      </c>
    </row>
    <row r="182" spans="2:17" x14ac:dyDescent="0.25">
      <c r="B182" s="24">
        <v>4</v>
      </c>
      <c r="C182" s="22"/>
      <c r="D182" s="22"/>
      <c r="E182" s="22"/>
      <c r="F182" s="22"/>
      <c r="Q182">
        <f>IF(AND($E182="",COUNTA($C182:$D182,$F182)&gt;0),1,0)</f>
      </c>
    </row>
    <row r="183" spans="2:17" x14ac:dyDescent="0.25">
      <c r="B183" s="24">
        <v>5</v>
      </c>
      <c r="C183" s="22"/>
      <c r="D183" s="22"/>
      <c r="E183" s="22"/>
      <c r="F183" s="22"/>
      <c r="Q183">
        <f>IF(AND($E183="",COUNTA($C183:$D183,$F183)&gt;0),1,0)</f>
      </c>
    </row>
    <row r="184" spans="2:17" x14ac:dyDescent="0.25">
      <c r="B184" s="24">
        <v>6</v>
      </c>
      <c r="C184" s="22"/>
      <c r="D184" s="22"/>
      <c r="E184" s="22"/>
      <c r="F184" s="22"/>
      <c r="Q184">
        <f>IF(AND($E184="",COUNTA($C184:$D184,$F184)&gt;0),1,0)</f>
      </c>
    </row>
    <row r="185" spans="2:17" x14ac:dyDescent="0.25">
      <c r="B185" s="24">
        <v>7</v>
      </c>
      <c r="C185" s="22"/>
      <c r="D185" s="22"/>
      <c r="E185" s="22"/>
      <c r="F185" s="22"/>
      <c r="Q185">
        <f>IF(AND($E185="",COUNTA($C185:$D185,$F185)&gt;0),1,0)</f>
      </c>
    </row>
    <row r="186" spans="2:17" x14ac:dyDescent="0.25">
      <c r="B186" s="24">
        <v>8</v>
      </c>
      <c r="C186" s="22"/>
      <c r="D186" s="22"/>
      <c r="E186" s="22"/>
      <c r="F186" s="22"/>
      <c r="Q186">
        <f>IF(AND($E186="",COUNTA($C186:$D186,$F186)&gt;0),1,0)</f>
      </c>
    </row>
    <row r="188" spans="2:6" x14ac:dyDescent="0.25">
      <c r="B188" s="18" t="s">
        <v>44</v>
      </c>
      <c r="C188" s="19"/>
      <c r="D188" s="19"/>
      <c r="E188" s="5"/>
      <c r="F188" s="5"/>
    </row>
    <row r="189" ht="24" customHeight="1" spans="2:16" x14ac:dyDescent="0.25">
      <c r="B189" s="20" t="s">
        <v>67</v>
      </c>
      <c r="C189" s="21"/>
      <c r="D189" s="21"/>
      <c r="E189" s="21"/>
      <c r="F189" s="21"/>
      <c r="G189" s="4">
        <f>IFERROR(IF(AND($C$189="",$C$190=""),IF(COUNTA($C$188:$F$188,$E$191,$C$193:$F$200)+COUNTA($E$190,$C$191)&gt;0,"⚠ Pick an exercise for this card",""),IF(AND($C$189&lt;&gt;"",$C$190&lt;&gt;""),"⚠ Use the library OR a custom exercise, not both",IF(AND($C$190&lt;&gt;"",$E$190=""),"⚠ Pick a muscle group for the custom exercise",IF(COUNT($E$193:$E$200)=0,"⚠ Enter Goal Reps for at least one set",IF(SUM($Q$193:$Q$200)&gt;0,"⚠ A set is missing Goal Reps",IF(IF($C$191="",1=0,COUNTIF($P$7:$P$214,$C$191)&lt;2),"⚠ Superset "&amp;$C$191&amp;" needs 2+ exercises",IF($C$189&lt;&gt;"",IFERROR("✓ "&amp;INDEX('Exercise Library'!$C$2:$C$319,MATCH($C$189,'Exercise Library'!$B$2:$B$319,0))&amp;IF(INDEX('Exercise Library'!$D$2:$D$319,MATCH($C$189,'Exercise Library'!$B$2:$B$319,0))="Yes"," · demo video","")&amp;" · "&amp;COUNT($E$193:$E$200)&amp;" sets","⚠ Not in the library — use Custom"),"✓ Custom ("&amp;$E$190&amp;") · "&amp;COUNT($E$193:$E$200)&amp;" sets"))))))),"⚠ Check this row")</f>
      </c>
      <c r="P189">
        <f>IF(OR($C$189&lt;&gt;"",$C$190&lt;&gt;""),$C$191,"")</f>
      </c>
    </row>
    <row r="190" spans="2:6" x14ac:dyDescent="0.25">
      <c r="B190" s="18" t="s">
        <v>46</v>
      </c>
      <c r="C190" s="5"/>
      <c r="D190" s="5"/>
      <c r="E190" s="5"/>
      <c r="F190" s="18" t="s">
        <v>47</v>
      </c>
    </row>
    <row r="191" ht="22" customHeight="1" spans="2:6" x14ac:dyDescent="0.25">
      <c r="B191" s="18" t="s">
        <v>48</v>
      </c>
      <c r="C191" s="22"/>
      <c r="D191" s="18" t="s">
        <v>49</v>
      </c>
      <c r="E191" s="5"/>
      <c r="F191" s="5"/>
    </row>
    <row r="192" spans="2:6" x14ac:dyDescent="0.25">
      <c r="B192" s="23" t="s">
        <v>50</v>
      </c>
      <c r="C192" s="23" t="s">
        <v>51</v>
      </c>
      <c r="D192" s="23" t="s">
        <v>52</v>
      </c>
      <c r="E192" s="23" t="s">
        <v>53</v>
      </c>
      <c r="F192" s="23" t="s">
        <v>54</v>
      </c>
    </row>
    <row r="193" spans="2:17" x14ac:dyDescent="0.25">
      <c r="B193" s="24">
        <v>1</v>
      </c>
      <c r="C193" s="22"/>
      <c r="D193" s="22"/>
      <c r="E193" s="22"/>
      <c r="F193" s="22"/>
      <c r="Q193">
        <f>IF(AND($E193="",COUNTA($C193:$D193,$F193)&gt;0),1,0)</f>
      </c>
    </row>
    <row r="194" spans="2:17" x14ac:dyDescent="0.25">
      <c r="B194" s="24">
        <v>2</v>
      </c>
      <c r="C194" s="22"/>
      <c r="D194" s="22"/>
      <c r="E194" s="22"/>
      <c r="F194" s="22"/>
      <c r="Q194">
        <f>IF(AND($E194="",COUNTA($C194:$D194,$F194)&gt;0),1,0)</f>
      </c>
    </row>
    <row r="195" spans="2:17" x14ac:dyDescent="0.25">
      <c r="B195" s="24">
        <v>3</v>
      </c>
      <c r="C195" s="22"/>
      <c r="D195" s="22"/>
      <c r="E195" s="22"/>
      <c r="F195" s="22"/>
      <c r="Q195">
        <f>IF(AND($E195="",COUNTA($C195:$D195,$F195)&gt;0),1,0)</f>
      </c>
    </row>
    <row r="196" spans="2:17" x14ac:dyDescent="0.25">
      <c r="B196" s="24">
        <v>4</v>
      </c>
      <c r="C196" s="22"/>
      <c r="D196" s="22"/>
      <c r="E196" s="22"/>
      <c r="F196" s="22"/>
      <c r="Q196">
        <f>IF(AND($E196="",COUNTA($C196:$D196,$F196)&gt;0),1,0)</f>
      </c>
    </row>
    <row r="197" spans="2:17" x14ac:dyDescent="0.25">
      <c r="B197" s="24">
        <v>5</v>
      </c>
      <c r="C197" s="22"/>
      <c r="D197" s="22"/>
      <c r="E197" s="22"/>
      <c r="F197" s="22"/>
      <c r="Q197">
        <f>IF(AND($E197="",COUNTA($C197:$D197,$F197)&gt;0),1,0)</f>
      </c>
    </row>
    <row r="198" spans="2:17" x14ac:dyDescent="0.25">
      <c r="B198" s="24">
        <v>6</v>
      </c>
      <c r="C198" s="22"/>
      <c r="D198" s="22"/>
      <c r="E198" s="22"/>
      <c r="F198" s="22"/>
      <c r="Q198">
        <f>IF(AND($E198="",COUNTA($C198:$D198,$F198)&gt;0),1,0)</f>
      </c>
    </row>
    <row r="199" spans="2:17" x14ac:dyDescent="0.25">
      <c r="B199" s="24">
        <v>7</v>
      </c>
      <c r="C199" s="22"/>
      <c r="D199" s="22"/>
      <c r="E199" s="22"/>
      <c r="F199" s="22"/>
      <c r="Q199">
        <f>IF(AND($E199="",COUNTA($C199:$D199,$F199)&gt;0),1,0)</f>
      </c>
    </row>
    <row r="200" spans="2:17" x14ac:dyDescent="0.25">
      <c r="B200" s="24">
        <v>8</v>
      </c>
      <c r="C200" s="22"/>
      <c r="D200" s="22"/>
      <c r="E200" s="22"/>
      <c r="F200" s="22"/>
      <c r="Q200">
        <f>IF(AND($E200="",COUNTA($C200:$D200,$F200)&gt;0),1,0)</f>
      </c>
    </row>
    <row r="202" spans="2:6" x14ac:dyDescent="0.25">
      <c r="B202" s="18" t="s">
        <v>44</v>
      </c>
      <c r="C202" s="19"/>
      <c r="D202" s="19"/>
      <c r="E202" s="5"/>
      <c r="F202" s="5"/>
    </row>
    <row r="203" ht="24" customHeight="1" spans="2:16" x14ac:dyDescent="0.25">
      <c r="B203" s="20" t="s">
        <v>68</v>
      </c>
      <c r="C203" s="21"/>
      <c r="D203" s="21"/>
      <c r="E203" s="21"/>
      <c r="F203" s="21"/>
      <c r="G203" s="4">
        <f>IFERROR(IF(AND($C$203="",$C$204=""),IF(COUNTA($C$202:$F$202,$E$205,$C$207:$F$214)+COUNTA($E$204,$C$205)&gt;0,"⚠ Pick an exercise for this card",""),IF(AND($C$203&lt;&gt;"",$C$204&lt;&gt;""),"⚠ Use the library OR a custom exercise, not both",IF(AND($C$204&lt;&gt;"",$E$204=""),"⚠ Pick a muscle group for the custom exercise",IF(COUNT($E$207:$E$214)=0,"⚠ Enter Goal Reps for at least one set",IF(SUM($Q$207:$Q$214)&gt;0,"⚠ A set is missing Goal Reps",IF(IF($C$205="",1=0,COUNTIF($P$7:$P$214,$C$205)&lt;2),"⚠ Superset "&amp;$C$205&amp;" needs 2+ exercises",IF($C$203&lt;&gt;"",IFERROR("✓ "&amp;INDEX('Exercise Library'!$C$2:$C$319,MATCH($C$203,'Exercise Library'!$B$2:$B$319,0))&amp;IF(INDEX('Exercise Library'!$D$2:$D$319,MATCH($C$203,'Exercise Library'!$B$2:$B$319,0))="Yes"," · demo video","")&amp;" · "&amp;COUNT($E$207:$E$214)&amp;" sets","⚠ Not in the library — use Custom"),"✓ Custom ("&amp;$E$204&amp;") · "&amp;COUNT($E$207:$E$214)&amp;" sets"))))))),"⚠ Check this row")</f>
      </c>
      <c r="P203">
        <f>IF(OR($C$203&lt;&gt;"",$C$204&lt;&gt;""),$C$205,"")</f>
      </c>
    </row>
    <row r="204" spans="2:6" x14ac:dyDescent="0.25">
      <c r="B204" s="18" t="s">
        <v>46</v>
      </c>
      <c r="C204" s="5"/>
      <c r="D204" s="5"/>
      <c r="E204" s="5"/>
      <c r="F204" s="18" t="s">
        <v>47</v>
      </c>
    </row>
    <row r="205" ht="22" customHeight="1" spans="2:6" x14ac:dyDescent="0.25">
      <c r="B205" s="18" t="s">
        <v>48</v>
      </c>
      <c r="C205" s="22"/>
      <c r="D205" s="18" t="s">
        <v>49</v>
      </c>
      <c r="E205" s="5"/>
      <c r="F205" s="5"/>
    </row>
    <row r="206" spans="2:6" x14ac:dyDescent="0.25">
      <c r="B206" s="23" t="s">
        <v>50</v>
      </c>
      <c r="C206" s="23" t="s">
        <v>51</v>
      </c>
      <c r="D206" s="23" t="s">
        <v>52</v>
      </c>
      <c r="E206" s="23" t="s">
        <v>53</v>
      </c>
      <c r="F206" s="23" t="s">
        <v>54</v>
      </c>
    </row>
    <row r="207" spans="2:17" x14ac:dyDescent="0.25">
      <c r="B207" s="24">
        <v>1</v>
      </c>
      <c r="C207" s="22"/>
      <c r="D207" s="22"/>
      <c r="E207" s="22"/>
      <c r="F207" s="22"/>
      <c r="Q207">
        <f>IF(AND($E207="",COUNTA($C207:$D207,$F207)&gt;0),1,0)</f>
      </c>
    </row>
    <row r="208" spans="2:17" x14ac:dyDescent="0.25">
      <c r="B208" s="24">
        <v>2</v>
      </c>
      <c r="C208" s="22"/>
      <c r="D208" s="22"/>
      <c r="E208" s="22"/>
      <c r="F208" s="22"/>
      <c r="Q208">
        <f>IF(AND($E208="",COUNTA($C208:$D208,$F208)&gt;0),1,0)</f>
      </c>
    </row>
    <row r="209" spans="2:17" x14ac:dyDescent="0.25">
      <c r="B209" s="24">
        <v>3</v>
      </c>
      <c r="C209" s="22"/>
      <c r="D209" s="22"/>
      <c r="E209" s="22"/>
      <c r="F209" s="22"/>
      <c r="Q209">
        <f>IF(AND($E209="",COUNTA($C209:$D209,$F209)&gt;0),1,0)</f>
      </c>
    </row>
    <row r="210" spans="2:17" x14ac:dyDescent="0.25">
      <c r="B210" s="24">
        <v>4</v>
      </c>
      <c r="C210" s="22"/>
      <c r="D210" s="22"/>
      <c r="E210" s="22"/>
      <c r="F210" s="22"/>
      <c r="Q210">
        <f>IF(AND($E210="",COUNTA($C210:$D210,$F210)&gt;0),1,0)</f>
      </c>
    </row>
    <row r="211" spans="2:17" x14ac:dyDescent="0.25">
      <c r="B211" s="24">
        <v>5</v>
      </c>
      <c r="C211" s="22"/>
      <c r="D211" s="22"/>
      <c r="E211" s="22"/>
      <c r="F211" s="22"/>
      <c r="Q211">
        <f>IF(AND($E211="",COUNTA($C211:$D211,$F211)&gt;0),1,0)</f>
      </c>
    </row>
    <row r="212" spans="2:17" x14ac:dyDescent="0.25">
      <c r="B212" s="24">
        <v>6</v>
      </c>
      <c r="C212" s="22"/>
      <c r="D212" s="22"/>
      <c r="E212" s="22"/>
      <c r="F212" s="22"/>
      <c r="Q212">
        <f>IF(AND($E212="",COUNTA($C212:$D212,$F212)&gt;0),1,0)</f>
      </c>
    </row>
    <row r="213" spans="2:17" x14ac:dyDescent="0.25">
      <c r="B213" s="24">
        <v>7</v>
      </c>
      <c r="C213" s="22"/>
      <c r="D213" s="22"/>
      <c r="E213" s="22"/>
      <c r="F213" s="22"/>
      <c r="Q213">
        <f>IF(AND($E213="",COUNTA($C213:$D213,$F213)&gt;0),1,0)</f>
      </c>
    </row>
    <row r="214" spans="2:17" x14ac:dyDescent="0.25">
      <c r="B214" s="24">
        <v>8</v>
      </c>
      <c r="C214" s="22"/>
      <c r="D214" s="22"/>
      <c r="E214" s="22"/>
      <c r="F214" s="22"/>
      <c r="Q214">
        <f>IF(AND($E214="",COUNTA($C214:$D214,$F214)&gt;0),1,0)</f>
      </c>
    </row>
  </sheetData>
  <mergeCells count="78">
    <mergeCell ref="A1:G1"/>
    <mergeCell ref="C3:F3"/>
    <mergeCell ref="C4:F4"/>
    <mergeCell ref="C6:D6"/>
    <mergeCell ref="E6:F6"/>
    <mergeCell ref="C7:F7"/>
    <mergeCell ref="C8:D8"/>
    <mergeCell ref="E9:F9"/>
    <mergeCell ref="C20:D20"/>
    <mergeCell ref="E20:F20"/>
    <mergeCell ref="C21:F21"/>
    <mergeCell ref="C22:D22"/>
    <mergeCell ref="E23:F23"/>
    <mergeCell ref="C34:D34"/>
    <mergeCell ref="E34:F34"/>
    <mergeCell ref="C35:F35"/>
    <mergeCell ref="C36:D36"/>
    <mergeCell ref="E37:F37"/>
    <mergeCell ref="C48:D48"/>
    <mergeCell ref="E48:F48"/>
    <mergeCell ref="C49:F49"/>
    <mergeCell ref="C50:D50"/>
    <mergeCell ref="E51:F51"/>
    <mergeCell ref="C62:D62"/>
    <mergeCell ref="E62:F62"/>
    <mergeCell ref="C63:F63"/>
    <mergeCell ref="C64:D64"/>
    <mergeCell ref="E65:F65"/>
    <mergeCell ref="C76:D76"/>
    <mergeCell ref="E76:F76"/>
    <mergeCell ref="C77:F77"/>
    <mergeCell ref="C78:D78"/>
    <mergeCell ref="E79:F79"/>
    <mergeCell ref="C90:D90"/>
    <mergeCell ref="E90:F90"/>
    <mergeCell ref="C91:F91"/>
    <mergeCell ref="C92:D92"/>
    <mergeCell ref="E93:F93"/>
    <mergeCell ref="C104:D104"/>
    <mergeCell ref="E104:F104"/>
    <mergeCell ref="C105:F105"/>
    <mergeCell ref="C106:D106"/>
    <mergeCell ref="E107:F107"/>
    <mergeCell ref="C118:D118"/>
    <mergeCell ref="E118:F118"/>
    <mergeCell ref="C119:F119"/>
    <mergeCell ref="C120:D120"/>
    <mergeCell ref="E121:F121"/>
    <mergeCell ref="C132:D132"/>
    <mergeCell ref="E132:F132"/>
    <mergeCell ref="C133:F133"/>
    <mergeCell ref="C134:D134"/>
    <mergeCell ref="E135:F135"/>
    <mergeCell ref="C146:D146"/>
    <mergeCell ref="E146:F146"/>
    <mergeCell ref="C147:F147"/>
    <mergeCell ref="C148:D148"/>
    <mergeCell ref="E149:F149"/>
    <mergeCell ref="C160:D160"/>
    <mergeCell ref="E160:F160"/>
    <mergeCell ref="C161:F161"/>
    <mergeCell ref="C162:D162"/>
    <mergeCell ref="E163:F163"/>
    <mergeCell ref="C174:D174"/>
    <mergeCell ref="E174:F174"/>
    <mergeCell ref="C175:F175"/>
    <mergeCell ref="C176:D176"/>
    <mergeCell ref="E177:F177"/>
    <mergeCell ref="C188:D188"/>
    <mergeCell ref="E188:F188"/>
    <mergeCell ref="C189:F189"/>
    <mergeCell ref="C190:D190"/>
    <mergeCell ref="E191:F191"/>
    <mergeCell ref="C202:D202"/>
    <mergeCell ref="E202:F202"/>
    <mergeCell ref="C203:F203"/>
    <mergeCell ref="C204:D204"/>
    <mergeCell ref="E205:F205"/>
  </mergeCells>
  <conditionalFormatting sqref="A1:G1">
    <cfRule type="expression" dxfId="45" priority="1">
      <formula>$O$1="FILL"</formula>
    </cfRule>
    <cfRule type="expression" dxfId="46" priority="2">
      <formula>$O$1="SKIP"</formula>
    </cfRule>
    <cfRule type="expression" dxfId="47" priority="3">
      <formula>$O$1=""</formula>
    </cfRule>
  </conditionalFormatting>
  <conditionalFormatting sqref="G3:G214">
    <cfRule type="expression" dxfId="48" priority="1">
      <formula>LEFT(G3,1)="⚠"</formula>
    </cfRule>
    <cfRule type="expression" dxfId="49" priority="2">
      <formula>LEFT(G3,1)="✓"</formula>
    </cfRule>
  </conditionalFormatting>
  <conditionalFormatting sqref="C3:F214">
    <cfRule type="expression" dxfId="50" priority="1">
      <formula>$O$1="SKIP"</formula>
    </cfRule>
  </conditionalFormatting>
  <dataValidations count="121">
    <dataValidation type="list" allowBlank="1" showInputMessage="1" prompt="Pick from the RepLab exercise library (type to search). Library exercises come with demo videos." showErrorMessage="1" errorStyle="stop" errorTitle="Pick from the list" error="Choose one of the options in the dropdown." sqref="C105">
      <formula1>'Exercise Library'!$B$2:$B$319</formula1>
    </dataValidation>
    <dataValidation type="textLength" operator="lessThanOrEqual" allowBlank="1" showErrorMessage="1" error="200 characters or fewer." sqref="C106">
      <formula1>200</formula1>
    </dataValidation>
    <dataValidation type="list" allowBlank="1" showInputMessage="1" prompt="Same letter = same superset" showErrorMessage="1" errorStyle="stop" errorTitle="Pick from the list" error="Choose one of the options in the dropdown." sqref="C107">
      <formula1>Lists!$E$2:$E$11</formula1>
    </dataValidation>
    <dataValidation type="list" allowBlank="1" showErrorMessage="1" errorStyle="stop" errorTitle="Pick from the list" error="Choose one of the options in the dropdown." sqref="C109:C11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19">
      <formula1>'Exercise Library'!$B$2:$B$319</formula1>
    </dataValidation>
    <dataValidation type="list" allowBlank="1" showErrorMessage="1" errorStyle="stop" errorTitle="Pick from the list" error="Choose one of the options in the dropdown." sqref="C11:C18">
      <formula1>Lists!$B$2:$B$9</formula1>
    </dataValidation>
    <dataValidation type="textLength" operator="lessThanOrEqual" allowBlank="1" showErrorMessage="1" error="200 characters or fewer." sqref="C120">
      <formula1>200</formula1>
    </dataValidation>
    <dataValidation type="list" allowBlank="1" showInputMessage="1" prompt="Same letter = same superset" showErrorMessage="1" errorStyle="stop" errorTitle="Pick from the list" error="Choose one of the options in the dropdown." sqref="C121">
      <formula1>Lists!$E$2:$E$11</formula1>
    </dataValidation>
    <dataValidation type="list" allowBlank="1" showErrorMessage="1" errorStyle="stop" errorTitle="Pick from the list" error="Choose one of the options in the dropdown." sqref="C123:C13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33">
      <formula1>'Exercise Library'!$B$2:$B$319</formula1>
    </dataValidation>
    <dataValidation type="textLength" operator="lessThanOrEqual" allowBlank="1" showErrorMessage="1" error="200 characters or fewer." sqref="C134">
      <formula1>200</formula1>
    </dataValidation>
    <dataValidation type="list" allowBlank="1" showInputMessage="1" prompt="Same letter = same superset" showErrorMessage="1" errorStyle="stop" errorTitle="Pick from the list" error="Choose one of the options in the dropdown." sqref="C135">
      <formula1>Lists!$E$2:$E$11</formula1>
    </dataValidation>
    <dataValidation type="list" allowBlank="1" showErrorMessage="1" errorStyle="stop" errorTitle="Pick from the list" error="Choose one of the options in the dropdown." sqref="C137:C14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47">
      <formula1>'Exercise Library'!$B$2:$B$319</formula1>
    </dataValidation>
    <dataValidation type="textLength" operator="lessThanOrEqual" allowBlank="1" showErrorMessage="1" error="200 characters or fewer." sqref="C148">
      <formula1>200</formula1>
    </dataValidation>
    <dataValidation type="list" allowBlank="1" showInputMessage="1" prompt="Same letter = same superset" showErrorMessage="1" errorStyle="stop" errorTitle="Pick from the list" error="Choose one of the options in the dropdown." sqref="C149">
      <formula1>Lists!$E$2:$E$11</formula1>
    </dataValidation>
    <dataValidation type="list" allowBlank="1" showErrorMessage="1" errorStyle="stop" errorTitle="Pick from the list" error="Choose one of the options in the dropdown." sqref="C151:C158">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61">
      <formula1>'Exercise Library'!$B$2:$B$319</formula1>
    </dataValidation>
    <dataValidation type="textLength" operator="lessThanOrEqual" allowBlank="1" showErrorMessage="1" error="200 characters or fewer." sqref="C162">
      <formula1>200</formula1>
    </dataValidation>
    <dataValidation type="list" allowBlank="1" showInputMessage="1" prompt="Same letter = same superset" showErrorMessage="1" errorStyle="stop" errorTitle="Pick from the list" error="Choose one of the options in the dropdown." sqref="C163">
      <formula1>Lists!$E$2:$E$11</formula1>
    </dataValidation>
    <dataValidation type="list" allowBlank="1" showErrorMessage="1" errorStyle="stop" errorTitle="Pick from the list" error="Choose one of the options in the dropdown." sqref="C165:C172">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75">
      <formula1>'Exercise Library'!$B$2:$B$319</formula1>
    </dataValidation>
    <dataValidation type="textLength" operator="lessThanOrEqual" allowBlank="1" showErrorMessage="1" error="200 characters or fewer." sqref="C176">
      <formula1>200</formula1>
    </dataValidation>
    <dataValidation type="list" allowBlank="1" showInputMessage="1" prompt="Same letter = same superset" showErrorMessage="1" errorStyle="stop" errorTitle="Pick from the list" error="Choose one of the options in the dropdown." sqref="C177">
      <formula1>Lists!$E$2:$E$11</formula1>
    </dataValidation>
    <dataValidation type="list" allowBlank="1" showErrorMessage="1" errorStyle="stop" errorTitle="Pick from the list" error="Choose one of the options in the dropdown." sqref="C179:C18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89">
      <formula1>'Exercise Library'!$B$2:$B$319</formula1>
    </dataValidation>
    <dataValidation type="textLength" operator="lessThanOrEqual" allowBlank="1" showErrorMessage="1" error="200 characters or fewer." sqref="C190">
      <formula1>200</formula1>
    </dataValidation>
    <dataValidation type="list" allowBlank="1" showInputMessage="1" prompt="Same letter = same superset" showErrorMessage="1" errorStyle="stop" errorTitle="Pick from the list" error="Choose one of the options in the dropdown." sqref="C191">
      <formula1>Lists!$E$2:$E$11</formula1>
    </dataValidation>
    <dataValidation type="list" allowBlank="1" showErrorMessage="1" errorStyle="stop" errorTitle="Pick from the list" error="Choose one of the options in the dropdown." sqref="C193:C20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03">
      <formula1>'Exercise Library'!$B$2:$B$319</formula1>
    </dataValidation>
    <dataValidation type="textLength" operator="lessThanOrEqual" allowBlank="1" showErrorMessage="1" error="200 characters or fewer." sqref="C204">
      <formula1>200</formula1>
    </dataValidation>
    <dataValidation type="list" allowBlank="1" showInputMessage="1" prompt="Same letter = same superset" showErrorMessage="1" errorStyle="stop" errorTitle="Pick from the list" error="Choose one of the options in the dropdown." sqref="C205">
      <formula1>Lists!$E$2:$E$11</formula1>
    </dataValidation>
    <dataValidation type="list" allowBlank="1" showErrorMessage="1" errorStyle="stop" errorTitle="Pick from the list" error="Choose one of the options in the dropdown." sqref="C207:C21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1">
      <formula1>'Exercise Library'!$B$2:$B$319</formula1>
    </dataValidation>
    <dataValidation type="textLength" operator="lessThanOrEqual" allowBlank="1" showErrorMessage="1" error="200 characters or fewer." sqref="C22">
      <formula1>200</formula1>
    </dataValidation>
    <dataValidation type="list" allowBlank="1" showInputMessage="1" prompt="Same letter = same superset" showErrorMessage="1" errorStyle="stop" errorTitle="Pick from the list" error="Choose one of the options in the dropdown." sqref="C23">
      <formula1>Lists!$E$2:$E$11</formula1>
    </dataValidation>
    <dataValidation type="list" allowBlank="1" showErrorMessage="1" errorStyle="stop" errorTitle="Pick from the list" error="Choose one of the options in the dropdown." sqref="C25:C32">
      <formula1>Lists!$B$2:$B$9</formula1>
    </dataValidation>
    <dataValidation type="textLength" operator="lessThanOrEqual" allowBlank="1" showErrorMessage="1" error="200 characters or fewer." sqref="C3">
      <formula1>200</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35">
      <formula1>'Exercise Library'!$B$2:$B$319</formula1>
    </dataValidation>
    <dataValidation type="textLength" operator="lessThanOrEqual" allowBlank="1" showErrorMessage="1" error="200 characters or fewer." sqref="C36">
      <formula1>200</formula1>
    </dataValidation>
    <dataValidation type="list" allowBlank="1" showInputMessage="1" prompt="Same letter = same superset" showErrorMessage="1" errorStyle="stop" errorTitle="Pick from the list" error="Choose one of the options in the dropdown." sqref="C37">
      <formula1>Lists!$E$2:$E$11</formula1>
    </dataValidation>
    <dataValidation type="list" allowBlank="1" showErrorMessage="1" errorStyle="stop" errorTitle="Pick from the list" error="Choose one of the options in the dropdown." sqref="C39:C4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49">
      <formula1>'Exercise Library'!$B$2:$B$319</formula1>
    </dataValidation>
    <dataValidation type="textLength" operator="lessThanOrEqual" allowBlank="1" showErrorMessage="1" error="200 characters or fewer." sqref="C50">
      <formula1>200</formula1>
    </dataValidation>
    <dataValidation type="list" allowBlank="1" showInputMessage="1" prompt="Same letter = same superset" showErrorMessage="1" errorStyle="stop" errorTitle="Pick from the list" error="Choose one of the options in the dropdown." sqref="C51">
      <formula1>Lists!$E$2:$E$11</formula1>
    </dataValidation>
    <dataValidation type="list" allowBlank="1" showErrorMessage="1" errorStyle="stop" errorTitle="Pick from the list" error="Choose one of the options in the dropdown." sqref="C53:C6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63">
      <formula1>'Exercise Library'!$B$2:$B$319</formula1>
    </dataValidation>
    <dataValidation type="textLength" operator="lessThanOrEqual" allowBlank="1" showErrorMessage="1" error="200 characters or fewer." sqref="C64">
      <formula1>200</formula1>
    </dataValidation>
    <dataValidation type="list" allowBlank="1" showInputMessage="1" prompt="Same letter = same superset" showErrorMessage="1" errorStyle="stop" errorTitle="Pick from the list" error="Choose one of the options in the dropdown." sqref="C65">
      <formula1>Lists!$E$2:$E$11</formula1>
    </dataValidation>
    <dataValidation type="list" allowBlank="1" showErrorMessage="1" errorStyle="stop" errorTitle="Pick from the list" error="Choose one of the options in the dropdown." sqref="C67:C7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
      <formula1>'Exercise Library'!$B$2:$B$319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7">
      <formula1>'Exercise Library'!$B$2:$B$319</formula1>
    </dataValidation>
    <dataValidation type="textLength" operator="lessThanOrEqual" allowBlank="1" showErrorMessage="1" error="200 characters or fewer." sqref="C78">
      <formula1>200</formula1>
    </dataValidation>
    <dataValidation type="list" allowBlank="1" showInputMessage="1" prompt="Same letter = same superset" showErrorMessage="1" errorStyle="stop" errorTitle="Pick from the list" error="Choose one of the options in the dropdown." sqref="C79">
      <formula1>Lists!$E$2:$E$11</formula1>
    </dataValidation>
    <dataValidation type="textLength" operator="lessThanOrEqual" allowBlank="1" showErrorMessage="1" error="200 characters or fewer." sqref="C8">
      <formula1>200</formula1>
    </dataValidation>
    <dataValidation type="list" allowBlank="1" showErrorMessage="1" errorStyle="stop" errorTitle="Pick from the list" error="Choose one of the options in the dropdown." sqref="C81:C88">
      <formula1>Lists!$B$2:$B$9</formula1>
    </dataValidation>
    <dataValidation type="list" allowBlank="1" showInputMessage="1" prompt="Same letter = same superset" showErrorMessage="1" errorStyle="stop" errorTitle="Pick from the list" error="Choose one of the options in the dropdown." sqref="C9">
      <formula1>Lists!$E$2:$E$11</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91">
      <formula1>'Exercise Library'!$B$2:$B$319</formula1>
    </dataValidation>
    <dataValidation type="textLength" operator="lessThanOrEqual" allowBlank="1" showErrorMessage="1" error="200 characters or fewer." sqref="C92">
      <formula1>200</formula1>
    </dataValidation>
    <dataValidation type="list" allowBlank="1" showInputMessage="1" prompt="Same letter = same superset" showErrorMessage="1" errorStyle="stop" errorTitle="Pick from the list" error="Choose one of the options in the dropdown." sqref="C93">
      <formula1>Lists!$E$2:$E$11</formula1>
    </dataValidation>
    <dataValidation type="list" allowBlank="1" showErrorMessage="1" errorStyle="stop" errorTitle="Pick from the list" error="Choose one of the options in the dropdown." sqref="C95:C102">
      <formula1>Lists!$B$2:$B$9</formula1>
    </dataValidation>
    <dataValidation type="decimal" allowBlank="1" showErrorMessage="1" error="Goal weight: a number from 0 to 2000 (lbs)." sqref="D109:D116">
      <formula1>0</formula1>
      <formula2>2000</formula2>
    </dataValidation>
    <dataValidation type="decimal" allowBlank="1" showErrorMessage="1" error="Goal weight: a number from 0 to 2000 (lbs)." sqref="D11:D18">
      <formula1>0</formula1>
      <formula2>2000</formula2>
    </dataValidation>
    <dataValidation type="decimal" allowBlank="1" showErrorMessage="1" error="Goal weight: a number from 0 to 2000 (lbs)." sqref="D123:D130">
      <formula1>0</formula1>
      <formula2>2000</formula2>
    </dataValidation>
    <dataValidation type="decimal" allowBlank="1" showErrorMessage="1" error="Goal weight: a number from 0 to 2000 (lbs)." sqref="D137:D144">
      <formula1>0</formula1>
      <formula2>2000</formula2>
    </dataValidation>
    <dataValidation type="decimal" allowBlank="1" showErrorMessage="1" error="Goal weight: a number from 0 to 2000 (lbs)." sqref="D151:D158">
      <formula1>0</formula1>
      <formula2>2000</formula2>
    </dataValidation>
    <dataValidation type="decimal" allowBlank="1" showErrorMessage="1" error="Goal weight: a number from 0 to 2000 (lbs)." sqref="D165:D172">
      <formula1>0</formula1>
      <formula2>2000</formula2>
    </dataValidation>
    <dataValidation type="decimal" allowBlank="1" showErrorMessage="1" error="Goal weight: a number from 0 to 2000 (lbs)." sqref="D179:D186">
      <formula1>0</formula1>
      <formula2>2000</formula2>
    </dataValidation>
    <dataValidation type="decimal" allowBlank="1" showErrorMessage="1" error="Goal weight: a number from 0 to 2000 (lbs)." sqref="D193:D200">
      <formula1>0</formula1>
      <formula2>2000</formula2>
    </dataValidation>
    <dataValidation type="decimal" allowBlank="1" showErrorMessage="1" error="Goal weight: a number from 0 to 2000 (lbs)." sqref="D207:D214">
      <formula1>0</formula1>
      <formula2>2000</formula2>
    </dataValidation>
    <dataValidation type="decimal" allowBlank="1" showErrorMessage="1" error="Goal weight: a number from 0 to 2000 (lbs)." sqref="D25:D32">
      <formula1>0</formula1>
      <formula2>2000</formula2>
    </dataValidation>
    <dataValidation type="decimal" allowBlank="1" showErrorMessage="1" error="Goal weight: a number from 0 to 2000 (lbs)." sqref="D39:D46">
      <formula1>0</formula1>
      <formula2>2000</formula2>
    </dataValidation>
    <dataValidation type="decimal" allowBlank="1" showErrorMessage="1" error="Goal weight: a number from 0 to 2000 (lbs)." sqref="D53:D60">
      <formula1>0</formula1>
      <formula2>2000</formula2>
    </dataValidation>
    <dataValidation type="decimal" allowBlank="1" showErrorMessage="1" error="Goal weight: a number from 0 to 2000 (lbs)." sqref="D67:D74">
      <formula1>0</formula1>
      <formula2>2000</formula2>
    </dataValidation>
    <dataValidation type="decimal" allowBlank="1" showErrorMessage="1" error="Goal weight: a number from 0 to 2000 (lbs)." sqref="D81:D88">
      <formula1>0</formula1>
      <formula2>2000</formula2>
    </dataValidation>
    <dataValidation type="decimal" allowBlank="1" showErrorMessage="1" error="Goal weight: a number from 0 to 2000 (lbs)." sqref="D95:D102">
      <formula1>0</formula1>
      <formula2>2000</formula2>
    </dataValidation>
    <dataValidation type="list" allowBlank="1" showInputMessage="1" prompt="Muscle group for the custom exercise" showErrorMessage="1" errorStyle="stop" errorTitle="Pick from the list" error="Choose one of the options in the dropdown." sqref="E106">
      <formula1>Lists!$D$2:$D$15</formula1>
    </dataValidation>
    <dataValidation type="whole" allowBlank="1" showErrorMessage="1" error="Goal reps: a whole number from 0 to 100." sqref="E109:E116">
      <formula1>0</formula1>
      <formula2>100</formula2>
    </dataValidation>
    <dataValidation type="whole" allowBlank="1" showErrorMessage="1" error="Goal reps: a whole number from 0 to 100." sqref="E11:E18">
      <formula1>0</formula1>
      <formula2>100</formula2>
    </dataValidation>
    <dataValidation type="list" allowBlank="1" showInputMessage="1" prompt="Muscle group for the custom exercise" showErrorMessage="1" errorStyle="stop" errorTitle="Pick from the list" error="Choose one of the options in the dropdown." sqref="E120">
      <formula1>Lists!$D$2:$D$15</formula1>
    </dataValidation>
    <dataValidation type="whole" allowBlank="1" showErrorMessage="1" error="Goal reps: a whole number from 0 to 100." sqref="E123:E130">
      <formula1>0</formula1>
      <formula2>100</formula2>
    </dataValidation>
    <dataValidation type="list" allowBlank="1" showInputMessage="1" prompt="Muscle group for the custom exercise" showErrorMessage="1" errorStyle="stop" errorTitle="Pick from the list" error="Choose one of the options in the dropdown." sqref="E134">
      <formula1>Lists!$D$2:$D$15</formula1>
    </dataValidation>
    <dataValidation type="whole" allowBlank="1" showErrorMessage="1" error="Goal reps: a whole number from 0 to 100." sqref="E137:E144">
      <formula1>0</formula1>
      <formula2>100</formula2>
    </dataValidation>
    <dataValidation type="list" allowBlank="1" showInputMessage="1" prompt="Muscle group for the custom exercise" showErrorMessage="1" errorStyle="stop" errorTitle="Pick from the list" error="Choose one of the options in the dropdown." sqref="E148">
      <formula1>Lists!$D$2:$D$15</formula1>
    </dataValidation>
    <dataValidation type="whole" allowBlank="1" showErrorMessage="1" error="Goal reps: a whole number from 0 to 100." sqref="E151:E158">
      <formula1>0</formula1>
      <formula2>100</formula2>
    </dataValidation>
    <dataValidation type="list" allowBlank="1" showInputMessage="1" prompt="Muscle group for the custom exercise" showErrorMessage="1" errorStyle="stop" errorTitle="Pick from the list" error="Choose one of the options in the dropdown." sqref="E162">
      <formula1>Lists!$D$2:$D$15</formula1>
    </dataValidation>
    <dataValidation type="whole" allowBlank="1" showErrorMessage="1" error="Goal reps: a whole number from 0 to 100." sqref="E165:E172">
      <formula1>0</formula1>
      <formula2>100</formula2>
    </dataValidation>
    <dataValidation type="list" allowBlank="1" showInputMessage="1" prompt="Muscle group for the custom exercise" showErrorMessage="1" errorStyle="stop" errorTitle="Pick from the list" error="Choose one of the options in the dropdown." sqref="E176">
      <formula1>Lists!$D$2:$D$15</formula1>
    </dataValidation>
    <dataValidation type="whole" allowBlank="1" showErrorMessage="1" error="Goal reps: a whole number from 0 to 100." sqref="E179:E186">
      <formula1>0</formula1>
      <formula2>100</formula2>
    </dataValidation>
    <dataValidation type="list" allowBlank="1" showInputMessage="1" prompt="Muscle group for the custom exercise" showErrorMessage="1" errorStyle="stop" errorTitle="Pick from the list" error="Choose one of the options in the dropdown." sqref="E190">
      <formula1>Lists!$D$2:$D$15</formula1>
    </dataValidation>
    <dataValidation type="whole" allowBlank="1" showErrorMessage="1" error="Goal reps: a whole number from 0 to 100." sqref="E193:E200">
      <formula1>0</formula1>
      <formula2>100</formula2>
    </dataValidation>
    <dataValidation type="list" allowBlank="1" showInputMessage="1" prompt="Muscle group for the custom exercise" showErrorMessage="1" errorStyle="stop" errorTitle="Pick from the list" error="Choose one of the options in the dropdown." sqref="E204">
      <formula1>Lists!$D$2:$D$15</formula1>
    </dataValidation>
    <dataValidation type="whole" allowBlank="1" showErrorMessage="1" error="Goal reps: a whole number from 0 to 100." sqref="E207:E214">
      <formula1>0</formula1>
      <formula2>100</formula2>
    </dataValidation>
    <dataValidation type="list" allowBlank="1" showInputMessage="1" prompt="Muscle group for the custom exercise" showErrorMessage="1" errorStyle="stop" errorTitle="Pick from the list" error="Choose one of the options in the dropdown." sqref="E22">
      <formula1>Lists!$D$2:$D$15</formula1>
    </dataValidation>
    <dataValidation type="whole" allowBlank="1" showErrorMessage="1" error="Goal reps: a whole number from 0 to 100." sqref="E25:E32">
      <formula1>0</formula1>
      <formula2>100</formula2>
    </dataValidation>
    <dataValidation type="list" allowBlank="1" showInputMessage="1" prompt="Muscle group for the custom exercise" showErrorMessage="1" errorStyle="stop" errorTitle="Pick from the list" error="Choose one of the options in the dropdown." sqref="E36">
      <formula1>Lists!$D$2:$D$15</formula1>
    </dataValidation>
    <dataValidation type="whole" allowBlank="1" showErrorMessage="1" error="Goal reps: a whole number from 0 to 100." sqref="E39:E46">
      <formula1>0</formula1>
      <formula2>100</formula2>
    </dataValidation>
    <dataValidation type="list" allowBlank="1" showInputMessage="1" prompt="Muscle group for the custom exercise" showErrorMessage="1" errorStyle="stop" errorTitle="Pick from the list" error="Choose one of the options in the dropdown." sqref="E50">
      <formula1>Lists!$D$2:$D$15</formula1>
    </dataValidation>
    <dataValidation type="whole" allowBlank="1" showErrorMessage="1" error="Goal reps: a whole number from 0 to 100." sqref="E53:E60">
      <formula1>0</formula1>
      <formula2>100</formula2>
    </dataValidation>
    <dataValidation type="list" allowBlank="1" showInputMessage="1" prompt="Muscle group for the custom exercise" showErrorMessage="1" errorStyle="stop" errorTitle="Pick from the list" error="Choose one of the options in the dropdown." sqref="E64">
      <formula1>Lists!$D$2:$D$15</formula1>
    </dataValidation>
    <dataValidation type="whole" allowBlank="1" showErrorMessage="1" error="Goal reps: a whole number from 0 to 100." sqref="E67:E74">
      <formula1>0</formula1>
      <formula2>100</formula2>
    </dataValidation>
    <dataValidation type="list" allowBlank="1" showInputMessage="1" prompt="Muscle group for the custom exercise" showErrorMessage="1" errorStyle="stop" errorTitle="Pick from the list" error="Choose one of the options in the dropdown." sqref="E78">
      <formula1>Lists!$D$2:$D$15</formula1>
    </dataValidation>
    <dataValidation type="list" allowBlank="1" showInputMessage="1" prompt="Muscle group for the custom exercise" showErrorMessage="1" errorStyle="stop" errorTitle="Pick from the list" error="Choose one of the options in the dropdown." sqref="E8">
      <formula1>Lists!$D$2:$D$15</formula1>
    </dataValidation>
    <dataValidation type="whole" allowBlank="1" showErrorMessage="1" error="Goal reps: a whole number from 0 to 100." sqref="E81:E88">
      <formula1>0</formula1>
      <formula2>100</formula2>
    </dataValidation>
    <dataValidation type="list" allowBlank="1" showInputMessage="1" prompt="Muscle group for the custom exercise" showErrorMessage="1" errorStyle="stop" errorTitle="Pick from the list" error="Choose one of the options in the dropdown." sqref="E92">
      <formula1>Lists!$D$2:$D$15</formula1>
    </dataValidation>
    <dataValidation type="whole" allowBlank="1" showErrorMessage="1" error="Goal reps: a whole number from 0 to 100." sqref="E95:E102">
      <formula1>0</formula1>
      <formula2>100</formula2>
    </dataValidation>
    <dataValidation type="textLength" operator="lessThanOrEqual" allowBlank="1" showErrorMessage="1" error="Keep the rep range short, e.g. 8-12." sqref="F109:F116">
      <formula1>20</formula1>
    </dataValidation>
    <dataValidation type="textLength" operator="lessThanOrEqual" allowBlank="1" showErrorMessage="1" error="Keep the rep range short, e.g. 8-12." sqref="F11:F18">
      <formula1>20</formula1>
    </dataValidation>
    <dataValidation type="textLength" operator="lessThanOrEqual" allowBlank="1" showErrorMessage="1" error="Keep the rep range short, e.g. 8-12." sqref="F123:F130">
      <formula1>20</formula1>
    </dataValidation>
    <dataValidation type="textLength" operator="lessThanOrEqual" allowBlank="1" showErrorMessage="1" error="Keep the rep range short, e.g. 8-12." sqref="F137:F144">
      <formula1>20</formula1>
    </dataValidation>
    <dataValidation type="textLength" operator="lessThanOrEqual" allowBlank="1" showErrorMessage="1" error="Keep the rep range short, e.g. 8-12." sqref="F151:F158">
      <formula1>20</formula1>
    </dataValidation>
    <dataValidation type="textLength" operator="lessThanOrEqual" allowBlank="1" showErrorMessage="1" error="Keep the rep range short, e.g. 8-12." sqref="F165:F172">
      <formula1>20</formula1>
    </dataValidation>
    <dataValidation type="textLength" operator="lessThanOrEqual" allowBlank="1" showErrorMessage="1" error="Keep the rep range short, e.g. 8-12." sqref="F179:F186">
      <formula1>20</formula1>
    </dataValidation>
    <dataValidation type="textLength" operator="lessThanOrEqual" allowBlank="1" showErrorMessage="1" error="Keep the rep range short, e.g. 8-12." sqref="F193:F200">
      <formula1>20</formula1>
    </dataValidation>
    <dataValidation type="textLength" operator="lessThanOrEqual" allowBlank="1" showErrorMessage="1" error="Keep the rep range short, e.g. 8-12." sqref="F207:F214">
      <formula1>20</formula1>
    </dataValidation>
    <dataValidation type="textLength" operator="lessThanOrEqual" allowBlank="1" showErrorMessage="1" error="Keep the rep range short, e.g. 8-12." sqref="F25:F32">
      <formula1>20</formula1>
    </dataValidation>
    <dataValidation type="textLength" operator="lessThanOrEqual" allowBlank="1" showErrorMessage="1" error="Keep the rep range short, e.g. 8-12." sqref="F39:F46">
      <formula1>20</formula1>
    </dataValidation>
    <dataValidation type="textLength" operator="lessThanOrEqual" allowBlank="1" showErrorMessage="1" error="Keep the rep range short, e.g. 8-12." sqref="F53:F60">
      <formula1>20</formula1>
    </dataValidation>
    <dataValidation type="textLength" operator="lessThanOrEqual" allowBlank="1" showErrorMessage="1" error="Keep the rep range short, e.g. 8-12." sqref="F67:F74">
      <formula1>20</formula1>
    </dataValidation>
    <dataValidation type="textLength" operator="lessThanOrEqual" allowBlank="1" showErrorMessage="1" error="Keep the rep range short, e.g. 8-12." sqref="F81:F88">
      <formula1>20</formula1>
    </dataValidation>
    <dataValidation type="textLength" operator="lessThanOrEqual" allowBlank="1" showErrorMessage="1" error="Keep the rep range short, e.g. 8-12." sqref="F95:F102">
      <formula1>20</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A6EA5"/>
  </sheetPr>
  <dimension ref="A1:Q214"/>
  <sheetViews>
    <sheetView workbookViewId="0" showGridLines="0">
      <pane ySplit="4" topLeftCell="A5" activePane="bottomLeft" state="frozen"/>
      <selection pane="bottomLeft"/>
    </sheetView>
  </sheetViews>
  <sheetFormatPr defaultRowHeight="15" outlineLevelRow="0" outlineLevelCol="0" x14ac:dyDescent="55"/>
  <cols>
    <col min="1" max="1" width="2" customWidth="1"/>
    <col min="2" max="2" width="13" customWidth="1"/>
    <col min="3" max="3" width="18" customWidth="1"/>
    <col min="4" max="6" width="14" customWidth="1"/>
    <col min="7" max="7" width="40" customWidth="1"/>
    <col min="14" max="14" width="9" hidden="1" customWidth="1"/>
    <col min="15" max="15" width="9" hidden="1" customWidth="1"/>
    <col min="16" max="16" width="9" hidden="1" customWidth="1"/>
    <col min="17" max="17" width="9" hidden="1" customWidth="1"/>
  </cols>
  <sheetData>
    <row r="1" ht="30" customHeight="1" spans="1:15" x14ac:dyDescent="0.25">
      <c r="A1" s="14">
        <f>IF($O$1="FILL","✅  FILL OUT THIS SHEET — Workout 8",IF($O$1="SKIP","⛔  NOT NEEDED — leave this sheet blank","Start on the Start sheet: answer question 1 first"))</f>
      </c>
      <c r="B1" s="14"/>
      <c r="C1" s="14"/>
      <c r="D1" s="14"/>
      <c r="E1" s="14"/>
      <c r="F1" s="14"/>
      <c r="G1" s="14"/>
      <c r="O1">
        <f>IF(Start!$C$4="Single Workout","SKIP",IF(Start!$C$4="Program",IF(8&lt;=N(Start!$C$9),"FILL","SKIP"),""))</f>
      </c>
    </row>
    <row r="2" spans="15:15" x14ac:dyDescent="0.25">
      <c r="O2">
        <f>IF($O$1="FILL",COUNTIF($G$3:$G$214,"⚠*"),0)</f>
      </c>
    </row>
    <row r="3" ht="26" customHeight="1" spans="2:7" x14ac:dyDescent="0.25">
      <c r="B3" s="15" t="s">
        <v>42</v>
      </c>
      <c r="C3" s="16"/>
      <c r="D3" s="16"/>
      <c r="E3" s="16"/>
      <c r="F3" s="16"/>
      <c r="G3" s="17">
        <f>IFERROR(IF($O$1&lt;&gt;"FILL","",IF($C$3="","⚠ Name this workout",IF($C$3="REST","⚠ REST is reserved for rest days — pick another name",IF(COUNTIF(Lists!$A$3:$A$14,$C$3)&gt;1,"⚠ Another workout has this name",IF(COUNTA($C$7,$C$8,$C$21,$C$22,$C$35,$C$36,$C$49,$C$50,$C$63,$C$64,$C$77,$C$78,$C$91,$C$92,$C$105,$C$106,$C$119,$C$120,$C$133,$C$134,$C$147,$C$148,$C$161,$C$162,$C$175,$C$176,$C$189,$C$190,$C$203,$C$204)=0,"⚠ Add at least one exercise","✓ Looks good"))))),"⚠ Check this row")</f>
      </c>
    </row>
    <row r="4" ht="30" customHeight="1" spans="2:6" x14ac:dyDescent="0.25">
      <c r="B4" s="15" t="s">
        <v>43</v>
      </c>
      <c r="C4" s="5"/>
      <c r="D4" s="5"/>
      <c r="E4" s="5"/>
      <c r="F4" s="5"/>
    </row>
    <row r="6" spans="2:6" x14ac:dyDescent="0.25">
      <c r="B6" s="18" t="s">
        <v>44</v>
      </c>
      <c r="C6" s="19"/>
      <c r="D6" s="19"/>
      <c r="E6" s="5"/>
      <c r="F6" s="5"/>
    </row>
    <row r="7" ht="24" customHeight="1" spans="2:16" x14ac:dyDescent="0.25">
      <c r="B7" s="20" t="s">
        <v>45</v>
      </c>
      <c r="C7" s="21"/>
      <c r="D7" s="21"/>
      <c r="E7" s="21"/>
      <c r="F7" s="21"/>
      <c r="G7" s="4">
        <f>IFERROR(IF(AND($C$7="",$C$8=""),IF(COUNTA($C$6:$F$6,$E$9,$C$11:$F$18)+COUNTA($E$8,$C$9)&gt;0,"⚠ Pick an exercise for this card",""),IF(AND($C$7&lt;&gt;"",$C$8&lt;&gt;""),"⚠ Use the library OR a custom exercise, not both",IF(AND($C$8&lt;&gt;"",$E$8=""),"⚠ Pick a muscle group for the custom exercise",IF(COUNT($E$11:$E$18)=0,"⚠ Enter Goal Reps for at least one set",IF(SUM($Q$11:$Q$18)&gt;0,"⚠ A set is missing Goal Reps",IF(IF($C$9="",1=0,COUNTIF($P$7:$P$214,$C$9)&lt;2),"⚠ Superset "&amp;$C$9&amp;" needs 2+ exercises",IF($C$7&lt;&gt;"",IFERROR("✓ "&amp;INDEX('Exercise Library'!$C$2:$C$319,MATCH($C$7,'Exercise Library'!$B$2:$B$319,0))&amp;IF(INDEX('Exercise Library'!$D$2:$D$319,MATCH($C$7,'Exercise Library'!$B$2:$B$319,0))="Yes"," · demo video","")&amp;" · "&amp;COUNT($E$11:$E$18)&amp;" sets","⚠ Not in the library — use Custom"),"✓ Custom ("&amp;$E$8&amp;") · "&amp;COUNT($E$11:$E$18)&amp;" sets"))))))),"⚠ Check this row")</f>
      </c>
      <c r="P7">
        <f>IF(OR($C$7&lt;&gt;"",$C$8&lt;&gt;""),$C$9,"")</f>
      </c>
    </row>
    <row r="8" spans="2:6" x14ac:dyDescent="0.25">
      <c r="B8" s="18" t="s">
        <v>46</v>
      </c>
      <c r="C8" s="5"/>
      <c r="D8" s="5"/>
      <c r="E8" s="5"/>
      <c r="F8" s="18" t="s">
        <v>47</v>
      </c>
    </row>
    <row r="9" ht="22" customHeight="1" spans="2:6" x14ac:dyDescent="0.25">
      <c r="B9" s="18" t="s">
        <v>48</v>
      </c>
      <c r="C9" s="22"/>
      <c r="D9" s="18" t="s">
        <v>49</v>
      </c>
      <c r="E9" s="5"/>
      <c r="F9" s="5"/>
    </row>
    <row r="10" spans="2:6" x14ac:dyDescent="0.25">
      <c r="B10" s="23" t="s">
        <v>50</v>
      </c>
      <c r="C10" s="23" t="s">
        <v>51</v>
      </c>
      <c r="D10" s="23" t="s">
        <v>52</v>
      </c>
      <c r="E10" s="23" t="s">
        <v>53</v>
      </c>
      <c r="F10" s="23" t="s">
        <v>54</v>
      </c>
    </row>
    <row r="11" spans="2:17" x14ac:dyDescent="0.25">
      <c r="B11" s="24">
        <v>1</v>
      </c>
      <c r="C11" s="22"/>
      <c r="D11" s="22"/>
      <c r="E11" s="22"/>
      <c r="F11" s="22"/>
      <c r="Q11">
        <f>IF(AND($E11="",COUNTA($C11:$D11,$F11)&gt;0),1,0)</f>
      </c>
    </row>
    <row r="12" spans="2:17" x14ac:dyDescent="0.25">
      <c r="B12" s="24">
        <v>2</v>
      </c>
      <c r="C12" s="22"/>
      <c r="D12" s="22"/>
      <c r="E12" s="22"/>
      <c r="F12" s="22"/>
      <c r="Q12">
        <f>IF(AND($E12="",COUNTA($C12:$D12,$F12)&gt;0),1,0)</f>
      </c>
    </row>
    <row r="13" spans="2:17" x14ac:dyDescent="0.25">
      <c r="B13" s="24">
        <v>3</v>
      </c>
      <c r="C13" s="22"/>
      <c r="D13" s="22"/>
      <c r="E13" s="22"/>
      <c r="F13" s="22"/>
      <c r="Q13">
        <f>IF(AND($E13="",COUNTA($C13:$D13,$F13)&gt;0),1,0)</f>
      </c>
    </row>
    <row r="14" spans="2:17" x14ac:dyDescent="0.25">
      <c r="B14" s="24">
        <v>4</v>
      </c>
      <c r="C14" s="22"/>
      <c r="D14" s="22"/>
      <c r="E14" s="22"/>
      <c r="F14" s="22"/>
      <c r="Q14">
        <f>IF(AND($E14="",COUNTA($C14:$D14,$F14)&gt;0),1,0)</f>
      </c>
    </row>
    <row r="15" spans="2:17" x14ac:dyDescent="0.25">
      <c r="B15" s="24">
        <v>5</v>
      </c>
      <c r="C15" s="22"/>
      <c r="D15" s="22"/>
      <c r="E15" s="22"/>
      <c r="F15" s="22"/>
      <c r="Q15">
        <f>IF(AND($E15="",COUNTA($C15:$D15,$F15)&gt;0),1,0)</f>
      </c>
    </row>
    <row r="16" spans="2:17" x14ac:dyDescent="0.25">
      <c r="B16" s="24">
        <v>6</v>
      </c>
      <c r="C16" s="22"/>
      <c r="D16" s="22"/>
      <c r="E16" s="22"/>
      <c r="F16" s="22"/>
      <c r="Q16">
        <f>IF(AND($E16="",COUNTA($C16:$D16,$F16)&gt;0),1,0)</f>
      </c>
    </row>
    <row r="17" spans="2:17" x14ac:dyDescent="0.25">
      <c r="B17" s="24">
        <v>7</v>
      </c>
      <c r="C17" s="22"/>
      <c r="D17" s="22"/>
      <c r="E17" s="22"/>
      <c r="F17" s="22"/>
      <c r="Q17">
        <f>IF(AND($E17="",COUNTA($C17:$D17,$F17)&gt;0),1,0)</f>
      </c>
    </row>
    <row r="18" spans="2:17" x14ac:dyDescent="0.25">
      <c r="B18" s="24">
        <v>8</v>
      </c>
      <c r="C18" s="22"/>
      <c r="D18" s="22"/>
      <c r="E18" s="22"/>
      <c r="F18" s="22"/>
      <c r="Q18">
        <f>IF(AND($E18="",COUNTA($C18:$D18,$F18)&gt;0),1,0)</f>
      </c>
    </row>
    <row r="20" spans="2:6" x14ac:dyDescent="0.25">
      <c r="B20" s="18" t="s">
        <v>44</v>
      </c>
      <c r="C20" s="19"/>
      <c r="D20" s="19"/>
      <c r="E20" s="5"/>
      <c r="F20" s="5"/>
    </row>
    <row r="21" ht="24" customHeight="1" spans="2:16" x14ac:dyDescent="0.25">
      <c r="B21" s="20" t="s">
        <v>55</v>
      </c>
      <c r="C21" s="21"/>
      <c r="D21" s="21"/>
      <c r="E21" s="21"/>
      <c r="F21" s="21"/>
      <c r="G21" s="4">
        <f>IFERROR(IF(AND($C$21="",$C$22=""),IF(COUNTA($C$20:$F$20,$E$23,$C$25:$F$32)+COUNTA($E$22,$C$23)&gt;0,"⚠ Pick an exercise for this card",""),IF(AND($C$21&lt;&gt;"",$C$22&lt;&gt;""),"⚠ Use the library OR a custom exercise, not both",IF(AND($C$22&lt;&gt;"",$E$22=""),"⚠ Pick a muscle group for the custom exercise",IF(COUNT($E$25:$E$32)=0,"⚠ Enter Goal Reps for at least one set",IF(SUM($Q$25:$Q$32)&gt;0,"⚠ A set is missing Goal Reps",IF(IF($C$23="",1=0,COUNTIF($P$7:$P$214,$C$23)&lt;2),"⚠ Superset "&amp;$C$23&amp;" needs 2+ exercises",IF($C$21&lt;&gt;"",IFERROR("✓ "&amp;INDEX('Exercise Library'!$C$2:$C$319,MATCH($C$21,'Exercise Library'!$B$2:$B$319,0))&amp;IF(INDEX('Exercise Library'!$D$2:$D$319,MATCH($C$21,'Exercise Library'!$B$2:$B$319,0))="Yes"," · demo video","")&amp;" · "&amp;COUNT($E$25:$E$32)&amp;" sets","⚠ Not in the library — use Custom"),"✓ Custom ("&amp;$E$22&amp;") · "&amp;COUNT($E$25:$E$32)&amp;" sets"))))))),"⚠ Check this row")</f>
      </c>
      <c r="P21">
        <f>IF(OR($C$21&lt;&gt;"",$C$22&lt;&gt;""),$C$23,"")</f>
      </c>
    </row>
    <row r="22" spans="2:6" x14ac:dyDescent="0.25">
      <c r="B22" s="18" t="s">
        <v>46</v>
      </c>
      <c r="C22" s="5"/>
      <c r="D22" s="5"/>
      <c r="E22" s="5"/>
      <c r="F22" s="18" t="s">
        <v>47</v>
      </c>
    </row>
    <row r="23" ht="22" customHeight="1" spans="2:6" x14ac:dyDescent="0.25">
      <c r="B23" s="18" t="s">
        <v>48</v>
      </c>
      <c r="C23" s="22"/>
      <c r="D23" s="18" t="s">
        <v>49</v>
      </c>
      <c r="E23" s="5"/>
      <c r="F23" s="5"/>
    </row>
    <row r="24" spans="2:6" x14ac:dyDescent="0.25">
      <c r="B24" s="23" t="s">
        <v>50</v>
      </c>
      <c r="C24" s="23" t="s">
        <v>51</v>
      </c>
      <c r="D24" s="23" t="s">
        <v>52</v>
      </c>
      <c r="E24" s="23" t="s">
        <v>53</v>
      </c>
      <c r="F24" s="23" t="s">
        <v>54</v>
      </c>
    </row>
    <row r="25" spans="2:17" x14ac:dyDescent="0.25">
      <c r="B25" s="24">
        <v>1</v>
      </c>
      <c r="C25" s="22"/>
      <c r="D25" s="22"/>
      <c r="E25" s="22"/>
      <c r="F25" s="22"/>
      <c r="Q25">
        <f>IF(AND($E25="",COUNTA($C25:$D25,$F25)&gt;0),1,0)</f>
      </c>
    </row>
    <row r="26" spans="2:17" x14ac:dyDescent="0.25">
      <c r="B26" s="24">
        <v>2</v>
      </c>
      <c r="C26" s="22"/>
      <c r="D26" s="22"/>
      <c r="E26" s="22"/>
      <c r="F26" s="22"/>
      <c r="Q26">
        <f>IF(AND($E26="",COUNTA($C26:$D26,$F26)&gt;0),1,0)</f>
      </c>
    </row>
    <row r="27" spans="2:17" x14ac:dyDescent="0.25">
      <c r="B27" s="24">
        <v>3</v>
      </c>
      <c r="C27" s="22"/>
      <c r="D27" s="22"/>
      <c r="E27" s="22"/>
      <c r="F27" s="22"/>
      <c r="Q27">
        <f>IF(AND($E27="",COUNTA($C27:$D27,$F27)&gt;0),1,0)</f>
      </c>
    </row>
    <row r="28" spans="2:17" x14ac:dyDescent="0.25">
      <c r="B28" s="24">
        <v>4</v>
      </c>
      <c r="C28" s="22"/>
      <c r="D28" s="22"/>
      <c r="E28" s="22"/>
      <c r="F28" s="22"/>
      <c r="Q28">
        <f>IF(AND($E28="",COUNTA($C28:$D28,$F28)&gt;0),1,0)</f>
      </c>
    </row>
    <row r="29" spans="2:17" x14ac:dyDescent="0.25">
      <c r="B29" s="24">
        <v>5</v>
      </c>
      <c r="C29" s="22"/>
      <c r="D29" s="22"/>
      <c r="E29" s="22"/>
      <c r="F29" s="22"/>
      <c r="Q29">
        <f>IF(AND($E29="",COUNTA($C29:$D29,$F29)&gt;0),1,0)</f>
      </c>
    </row>
    <row r="30" spans="2:17" x14ac:dyDescent="0.25">
      <c r="B30" s="24">
        <v>6</v>
      </c>
      <c r="C30" s="22"/>
      <c r="D30" s="22"/>
      <c r="E30" s="22"/>
      <c r="F30" s="22"/>
      <c r="Q30">
        <f>IF(AND($E30="",COUNTA($C30:$D30,$F30)&gt;0),1,0)</f>
      </c>
    </row>
    <row r="31" spans="2:17" x14ac:dyDescent="0.25">
      <c r="B31" s="24">
        <v>7</v>
      </c>
      <c r="C31" s="22"/>
      <c r="D31" s="22"/>
      <c r="E31" s="22"/>
      <c r="F31" s="22"/>
      <c r="Q31">
        <f>IF(AND($E31="",COUNTA($C31:$D31,$F31)&gt;0),1,0)</f>
      </c>
    </row>
    <row r="32" spans="2:17" x14ac:dyDescent="0.25">
      <c r="B32" s="24">
        <v>8</v>
      </c>
      <c r="C32" s="22"/>
      <c r="D32" s="22"/>
      <c r="E32" s="22"/>
      <c r="F32" s="22"/>
      <c r="Q32">
        <f>IF(AND($E32="",COUNTA($C32:$D32,$F32)&gt;0),1,0)</f>
      </c>
    </row>
    <row r="34" spans="2:6" x14ac:dyDescent="0.25">
      <c r="B34" s="18" t="s">
        <v>44</v>
      </c>
      <c r="C34" s="19"/>
      <c r="D34" s="19"/>
      <c r="E34" s="5"/>
      <c r="F34" s="5"/>
    </row>
    <row r="35" ht="24" customHeight="1" spans="2:16" x14ac:dyDescent="0.25">
      <c r="B35" s="20" t="s">
        <v>56</v>
      </c>
      <c r="C35" s="21"/>
      <c r="D35" s="21"/>
      <c r="E35" s="21"/>
      <c r="F35" s="21"/>
      <c r="G35" s="4">
        <f>IFERROR(IF(AND($C$35="",$C$36=""),IF(COUNTA($C$34:$F$34,$E$37,$C$39:$F$46)+COUNTA($E$36,$C$37)&gt;0,"⚠ Pick an exercise for this card",""),IF(AND($C$35&lt;&gt;"",$C$36&lt;&gt;""),"⚠ Use the library OR a custom exercise, not both",IF(AND($C$36&lt;&gt;"",$E$36=""),"⚠ Pick a muscle group for the custom exercise",IF(COUNT($E$39:$E$46)=0,"⚠ Enter Goal Reps for at least one set",IF(SUM($Q$39:$Q$46)&gt;0,"⚠ A set is missing Goal Reps",IF(IF($C$37="",1=0,COUNTIF($P$7:$P$214,$C$37)&lt;2),"⚠ Superset "&amp;$C$37&amp;" needs 2+ exercises",IF($C$35&lt;&gt;"",IFERROR("✓ "&amp;INDEX('Exercise Library'!$C$2:$C$319,MATCH($C$35,'Exercise Library'!$B$2:$B$319,0))&amp;IF(INDEX('Exercise Library'!$D$2:$D$319,MATCH($C$35,'Exercise Library'!$B$2:$B$319,0))="Yes"," · demo video","")&amp;" · "&amp;COUNT($E$39:$E$46)&amp;" sets","⚠ Not in the library — use Custom"),"✓ Custom ("&amp;$E$36&amp;") · "&amp;COUNT($E$39:$E$46)&amp;" sets"))))))),"⚠ Check this row")</f>
      </c>
      <c r="P35">
        <f>IF(OR($C$35&lt;&gt;"",$C$36&lt;&gt;""),$C$37,"")</f>
      </c>
    </row>
    <row r="36" spans="2:6" x14ac:dyDescent="0.25">
      <c r="B36" s="18" t="s">
        <v>46</v>
      </c>
      <c r="C36" s="5"/>
      <c r="D36" s="5"/>
      <c r="E36" s="5"/>
      <c r="F36" s="18" t="s">
        <v>47</v>
      </c>
    </row>
    <row r="37" ht="22" customHeight="1" spans="2:6" x14ac:dyDescent="0.25">
      <c r="B37" s="18" t="s">
        <v>48</v>
      </c>
      <c r="C37" s="22"/>
      <c r="D37" s="18" t="s">
        <v>49</v>
      </c>
      <c r="E37" s="5"/>
      <c r="F37" s="5"/>
    </row>
    <row r="38" spans="2:6" x14ac:dyDescent="0.25">
      <c r="B38" s="23" t="s">
        <v>50</v>
      </c>
      <c r="C38" s="23" t="s">
        <v>51</v>
      </c>
      <c r="D38" s="23" t="s">
        <v>52</v>
      </c>
      <c r="E38" s="23" t="s">
        <v>53</v>
      </c>
      <c r="F38" s="23" t="s">
        <v>54</v>
      </c>
    </row>
    <row r="39" spans="2:17" x14ac:dyDescent="0.25">
      <c r="B39" s="24">
        <v>1</v>
      </c>
      <c r="C39" s="22"/>
      <c r="D39" s="22"/>
      <c r="E39" s="22"/>
      <c r="F39" s="22"/>
      <c r="Q39">
        <f>IF(AND($E39="",COUNTA($C39:$D39,$F39)&gt;0),1,0)</f>
      </c>
    </row>
    <row r="40" spans="2:17" x14ac:dyDescent="0.25">
      <c r="B40" s="24">
        <v>2</v>
      </c>
      <c r="C40" s="22"/>
      <c r="D40" s="22"/>
      <c r="E40" s="22"/>
      <c r="F40" s="22"/>
      <c r="Q40">
        <f>IF(AND($E40="",COUNTA($C40:$D40,$F40)&gt;0),1,0)</f>
      </c>
    </row>
    <row r="41" spans="2:17" x14ac:dyDescent="0.25">
      <c r="B41" s="24">
        <v>3</v>
      </c>
      <c r="C41" s="22"/>
      <c r="D41" s="22"/>
      <c r="E41" s="22"/>
      <c r="F41" s="22"/>
      <c r="Q41">
        <f>IF(AND($E41="",COUNTA($C41:$D41,$F41)&gt;0),1,0)</f>
      </c>
    </row>
    <row r="42" spans="2:17" x14ac:dyDescent="0.25">
      <c r="B42" s="24">
        <v>4</v>
      </c>
      <c r="C42" s="22"/>
      <c r="D42" s="22"/>
      <c r="E42" s="22"/>
      <c r="F42" s="22"/>
      <c r="Q42">
        <f>IF(AND($E42="",COUNTA($C42:$D42,$F42)&gt;0),1,0)</f>
      </c>
    </row>
    <row r="43" spans="2:17" x14ac:dyDescent="0.25">
      <c r="B43" s="24">
        <v>5</v>
      </c>
      <c r="C43" s="22"/>
      <c r="D43" s="22"/>
      <c r="E43" s="22"/>
      <c r="F43" s="22"/>
      <c r="Q43">
        <f>IF(AND($E43="",COUNTA($C43:$D43,$F43)&gt;0),1,0)</f>
      </c>
    </row>
    <row r="44" spans="2:17" x14ac:dyDescent="0.25">
      <c r="B44" s="24">
        <v>6</v>
      </c>
      <c r="C44" s="22"/>
      <c r="D44" s="22"/>
      <c r="E44" s="22"/>
      <c r="F44" s="22"/>
      <c r="Q44">
        <f>IF(AND($E44="",COUNTA($C44:$D44,$F44)&gt;0),1,0)</f>
      </c>
    </row>
    <row r="45" spans="2:17" x14ac:dyDescent="0.25">
      <c r="B45" s="24">
        <v>7</v>
      </c>
      <c r="C45" s="22"/>
      <c r="D45" s="22"/>
      <c r="E45" s="22"/>
      <c r="F45" s="22"/>
      <c r="Q45">
        <f>IF(AND($E45="",COUNTA($C45:$D45,$F45)&gt;0),1,0)</f>
      </c>
    </row>
    <row r="46" spans="2:17" x14ac:dyDescent="0.25">
      <c r="B46" s="24">
        <v>8</v>
      </c>
      <c r="C46" s="22"/>
      <c r="D46" s="22"/>
      <c r="E46" s="22"/>
      <c r="F46" s="22"/>
      <c r="Q46">
        <f>IF(AND($E46="",COUNTA($C46:$D46,$F46)&gt;0),1,0)</f>
      </c>
    </row>
    <row r="48" spans="2:6" x14ac:dyDescent="0.25">
      <c r="B48" s="18" t="s">
        <v>44</v>
      </c>
      <c r="C48" s="19"/>
      <c r="D48" s="19"/>
      <c r="E48" s="5"/>
      <c r="F48" s="5"/>
    </row>
    <row r="49" ht="24" customHeight="1" spans="2:16" x14ac:dyDescent="0.25">
      <c r="B49" s="20" t="s">
        <v>57</v>
      </c>
      <c r="C49" s="21"/>
      <c r="D49" s="21"/>
      <c r="E49" s="21"/>
      <c r="F49" s="21"/>
      <c r="G49" s="4">
        <f>IFERROR(IF(AND($C$49="",$C$50=""),IF(COUNTA($C$48:$F$48,$E$51,$C$53:$F$60)+COUNTA($E$50,$C$51)&gt;0,"⚠ Pick an exercise for this card",""),IF(AND($C$49&lt;&gt;"",$C$50&lt;&gt;""),"⚠ Use the library OR a custom exercise, not both",IF(AND($C$50&lt;&gt;"",$E$50=""),"⚠ Pick a muscle group for the custom exercise",IF(COUNT($E$53:$E$60)=0,"⚠ Enter Goal Reps for at least one set",IF(SUM($Q$53:$Q$60)&gt;0,"⚠ A set is missing Goal Reps",IF(IF($C$51="",1=0,COUNTIF($P$7:$P$214,$C$51)&lt;2),"⚠ Superset "&amp;$C$51&amp;" needs 2+ exercises",IF($C$49&lt;&gt;"",IFERROR("✓ "&amp;INDEX('Exercise Library'!$C$2:$C$319,MATCH($C$49,'Exercise Library'!$B$2:$B$319,0))&amp;IF(INDEX('Exercise Library'!$D$2:$D$319,MATCH($C$49,'Exercise Library'!$B$2:$B$319,0))="Yes"," · demo video","")&amp;" · "&amp;COUNT($E$53:$E$60)&amp;" sets","⚠ Not in the library — use Custom"),"✓ Custom ("&amp;$E$50&amp;") · "&amp;COUNT($E$53:$E$60)&amp;" sets"))))))),"⚠ Check this row")</f>
      </c>
      <c r="P49">
        <f>IF(OR($C$49&lt;&gt;"",$C$50&lt;&gt;""),$C$51,"")</f>
      </c>
    </row>
    <row r="50" spans="2:6" x14ac:dyDescent="0.25">
      <c r="B50" s="18" t="s">
        <v>46</v>
      </c>
      <c r="C50" s="5"/>
      <c r="D50" s="5"/>
      <c r="E50" s="5"/>
      <c r="F50" s="18" t="s">
        <v>47</v>
      </c>
    </row>
    <row r="51" ht="22" customHeight="1" spans="2:6" x14ac:dyDescent="0.25">
      <c r="B51" s="18" t="s">
        <v>48</v>
      </c>
      <c r="C51" s="22"/>
      <c r="D51" s="18" t="s">
        <v>49</v>
      </c>
      <c r="E51" s="5"/>
      <c r="F51" s="5"/>
    </row>
    <row r="52" spans="2:6" x14ac:dyDescent="0.25">
      <c r="B52" s="23" t="s">
        <v>50</v>
      </c>
      <c r="C52" s="23" t="s">
        <v>51</v>
      </c>
      <c r="D52" s="23" t="s">
        <v>52</v>
      </c>
      <c r="E52" s="23" t="s">
        <v>53</v>
      </c>
      <c r="F52" s="23" t="s">
        <v>54</v>
      </c>
    </row>
    <row r="53" spans="2:17" x14ac:dyDescent="0.25">
      <c r="B53" s="24">
        <v>1</v>
      </c>
      <c r="C53" s="22"/>
      <c r="D53" s="22"/>
      <c r="E53" s="22"/>
      <c r="F53" s="22"/>
      <c r="Q53">
        <f>IF(AND($E53="",COUNTA($C53:$D53,$F53)&gt;0),1,0)</f>
      </c>
    </row>
    <row r="54" spans="2:17" x14ac:dyDescent="0.25">
      <c r="B54" s="24">
        <v>2</v>
      </c>
      <c r="C54" s="22"/>
      <c r="D54" s="22"/>
      <c r="E54" s="22"/>
      <c r="F54" s="22"/>
      <c r="Q54">
        <f>IF(AND($E54="",COUNTA($C54:$D54,$F54)&gt;0),1,0)</f>
      </c>
    </row>
    <row r="55" spans="2:17" x14ac:dyDescent="0.25">
      <c r="B55" s="24">
        <v>3</v>
      </c>
      <c r="C55" s="22"/>
      <c r="D55" s="22"/>
      <c r="E55" s="22"/>
      <c r="F55" s="22"/>
      <c r="Q55">
        <f>IF(AND($E55="",COUNTA($C55:$D55,$F55)&gt;0),1,0)</f>
      </c>
    </row>
    <row r="56" spans="2:17" x14ac:dyDescent="0.25">
      <c r="B56" s="24">
        <v>4</v>
      </c>
      <c r="C56" s="22"/>
      <c r="D56" s="22"/>
      <c r="E56" s="22"/>
      <c r="F56" s="22"/>
      <c r="Q56">
        <f>IF(AND($E56="",COUNTA($C56:$D56,$F56)&gt;0),1,0)</f>
      </c>
    </row>
    <row r="57" spans="2:17" x14ac:dyDescent="0.25">
      <c r="B57" s="24">
        <v>5</v>
      </c>
      <c r="C57" s="22"/>
      <c r="D57" s="22"/>
      <c r="E57" s="22"/>
      <c r="F57" s="22"/>
      <c r="Q57">
        <f>IF(AND($E57="",COUNTA($C57:$D57,$F57)&gt;0),1,0)</f>
      </c>
    </row>
    <row r="58" spans="2:17" x14ac:dyDescent="0.25">
      <c r="B58" s="24">
        <v>6</v>
      </c>
      <c r="C58" s="22"/>
      <c r="D58" s="22"/>
      <c r="E58" s="22"/>
      <c r="F58" s="22"/>
      <c r="Q58">
        <f>IF(AND($E58="",COUNTA($C58:$D58,$F58)&gt;0),1,0)</f>
      </c>
    </row>
    <row r="59" spans="2:17" x14ac:dyDescent="0.25">
      <c r="B59" s="24">
        <v>7</v>
      </c>
      <c r="C59" s="22"/>
      <c r="D59" s="22"/>
      <c r="E59" s="22"/>
      <c r="F59" s="22"/>
      <c r="Q59">
        <f>IF(AND($E59="",COUNTA($C59:$D59,$F59)&gt;0),1,0)</f>
      </c>
    </row>
    <row r="60" spans="2:17" x14ac:dyDescent="0.25">
      <c r="B60" s="24">
        <v>8</v>
      </c>
      <c r="C60" s="22"/>
      <c r="D60" s="22"/>
      <c r="E60" s="22"/>
      <c r="F60" s="22"/>
      <c r="Q60">
        <f>IF(AND($E60="",COUNTA($C60:$D60,$F60)&gt;0),1,0)</f>
      </c>
    </row>
    <row r="62" spans="2:6" x14ac:dyDescent="0.25">
      <c r="B62" s="18" t="s">
        <v>44</v>
      </c>
      <c r="C62" s="19"/>
      <c r="D62" s="19"/>
      <c r="E62" s="5"/>
      <c r="F62" s="5"/>
    </row>
    <row r="63" ht="24" customHeight="1" spans="2:16" x14ac:dyDescent="0.25">
      <c r="B63" s="20" t="s">
        <v>58</v>
      </c>
      <c r="C63" s="21"/>
      <c r="D63" s="21"/>
      <c r="E63" s="21"/>
      <c r="F63" s="21"/>
      <c r="G63" s="4">
        <f>IFERROR(IF(AND($C$63="",$C$64=""),IF(COUNTA($C$62:$F$62,$E$65,$C$67:$F$74)+COUNTA($E$64,$C$65)&gt;0,"⚠ Pick an exercise for this card",""),IF(AND($C$63&lt;&gt;"",$C$64&lt;&gt;""),"⚠ Use the library OR a custom exercise, not both",IF(AND($C$64&lt;&gt;"",$E$64=""),"⚠ Pick a muscle group for the custom exercise",IF(COUNT($E$67:$E$74)=0,"⚠ Enter Goal Reps for at least one set",IF(SUM($Q$67:$Q$74)&gt;0,"⚠ A set is missing Goal Reps",IF(IF($C$65="",1=0,COUNTIF($P$7:$P$214,$C$65)&lt;2),"⚠ Superset "&amp;$C$65&amp;" needs 2+ exercises",IF($C$63&lt;&gt;"",IFERROR("✓ "&amp;INDEX('Exercise Library'!$C$2:$C$319,MATCH($C$63,'Exercise Library'!$B$2:$B$319,0))&amp;IF(INDEX('Exercise Library'!$D$2:$D$319,MATCH($C$63,'Exercise Library'!$B$2:$B$319,0))="Yes"," · demo video","")&amp;" · "&amp;COUNT($E$67:$E$74)&amp;" sets","⚠ Not in the library — use Custom"),"✓ Custom ("&amp;$E$64&amp;") · "&amp;COUNT($E$67:$E$74)&amp;" sets"))))))),"⚠ Check this row")</f>
      </c>
      <c r="P63">
        <f>IF(OR($C$63&lt;&gt;"",$C$64&lt;&gt;""),$C$65,"")</f>
      </c>
    </row>
    <row r="64" spans="2:6" x14ac:dyDescent="0.25">
      <c r="B64" s="18" t="s">
        <v>46</v>
      </c>
      <c r="C64" s="5"/>
      <c r="D64" s="5"/>
      <c r="E64" s="5"/>
      <c r="F64" s="18" t="s">
        <v>47</v>
      </c>
    </row>
    <row r="65" ht="22" customHeight="1" spans="2:6" x14ac:dyDescent="0.25">
      <c r="B65" s="18" t="s">
        <v>48</v>
      </c>
      <c r="C65" s="22"/>
      <c r="D65" s="18" t="s">
        <v>49</v>
      </c>
      <c r="E65" s="5"/>
      <c r="F65" s="5"/>
    </row>
    <row r="66" spans="2:6" x14ac:dyDescent="0.25">
      <c r="B66" s="23" t="s">
        <v>50</v>
      </c>
      <c r="C66" s="23" t="s">
        <v>51</v>
      </c>
      <c r="D66" s="23" t="s">
        <v>52</v>
      </c>
      <c r="E66" s="23" t="s">
        <v>53</v>
      </c>
      <c r="F66" s="23" t="s">
        <v>54</v>
      </c>
    </row>
    <row r="67" spans="2:17" x14ac:dyDescent="0.25">
      <c r="B67" s="24">
        <v>1</v>
      </c>
      <c r="C67" s="22"/>
      <c r="D67" s="22"/>
      <c r="E67" s="22"/>
      <c r="F67" s="22"/>
      <c r="Q67">
        <f>IF(AND($E67="",COUNTA($C67:$D67,$F67)&gt;0),1,0)</f>
      </c>
    </row>
    <row r="68" spans="2:17" x14ac:dyDescent="0.25">
      <c r="B68" s="24">
        <v>2</v>
      </c>
      <c r="C68" s="22"/>
      <c r="D68" s="22"/>
      <c r="E68" s="22"/>
      <c r="F68" s="22"/>
      <c r="Q68">
        <f>IF(AND($E68="",COUNTA($C68:$D68,$F68)&gt;0),1,0)</f>
      </c>
    </row>
    <row r="69" spans="2:17" x14ac:dyDescent="0.25">
      <c r="B69" s="24">
        <v>3</v>
      </c>
      <c r="C69" s="22"/>
      <c r="D69" s="22"/>
      <c r="E69" s="22"/>
      <c r="F69" s="22"/>
      <c r="Q69">
        <f>IF(AND($E69="",COUNTA($C69:$D69,$F69)&gt;0),1,0)</f>
      </c>
    </row>
    <row r="70" spans="2:17" x14ac:dyDescent="0.25">
      <c r="B70" s="24">
        <v>4</v>
      </c>
      <c r="C70" s="22"/>
      <c r="D70" s="22"/>
      <c r="E70" s="22"/>
      <c r="F70" s="22"/>
      <c r="Q70">
        <f>IF(AND($E70="",COUNTA($C70:$D70,$F70)&gt;0),1,0)</f>
      </c>
    </row>
    <row r="71" spans="2:17" x14ac:dyDescent="0.25">
      <c r="B71" s="24">
        <v>5</v>
      </c>
      <c r="C71" s="22"/>
      <c r="D71" s="22"/>
      <c r="E71" s="22"/>
      <c r="F71" s="22"/>
      <c r="Q71">
        <f>IF(AND($E71="",COUNTA($C71:$D71,$F71)&gt;0),1,0)</f>
      </c>
    </row>
    <row r="72" spans="2:17" x14ac:dyDescent="0.25">
      <c r="B72" s="24">
        <v>6</v>
      </c>
      <c r="C72" s="22"/>
      <c r="D72" s="22"/>
      <c r="E72" s="22"/>
      <c r="F72" s="22"/>
      <c r="Q72">
        <f>IF(AND($E72="",COUNTA($C72:$D72,$F72)&gt;0),1,0)</f>
      </c>
    </row>
    <row r="73" spans="2:17" x14ac:dyDescent="0.25">
      <c r="B73" s="24">
        <v>7</v>
      </c>
      <c r="C73" s="22"/>
      <c r="D73" s="22"/>
      <c r="E73" s="22"/>
      <c r="F73" s="22"/>
      <c r="Q73">
        <f>IF(AND($E73="",COUNTA($C73:$D73,$F73)&gt;0),1,0)</f>
      </c>
    </row>
    <row r="74" spans="2:17" x14ac:dyDescent="0.25">
      <c r="B74" s="24">
        <v>8</v>
      </c>
      <c r="C74" s="22"/>
      <c r="D74" s="22"/>
      <c r="E74" s="22"/>
      <c r="F74" s="22"/>
      <c r="Q74">
        <f>IF(AND($E74="",COUNTA($C74:$D74,$F74)&gt;0),1,0)</f>
      </c>
    </row>
    <row r="76" spans="2:6" x14ac:dyDescent="0.25">
      <c r="B76" s="18" t="s">
        <v>44</v>
      </c>
      <c r="C76" s="19"/>
      <c r="D76" s="19"/>
      <c r="E76" s="5"/>
      <c r="F76" s="5"/>
    </row>
    <row r="77" ht="24" customHeight="1" spans="2:16" x14ac:dyDescent="0.25">
      <c r="B77" s="20" t="s">
        <v>59</v>
      </c>
      <c r="C77" s="21"/>
      <c r="D77" s="21"/>
      <c r="E77" s="21"/>
      <c r="F77" s="21"/>
      <c r="G77" s="4">
        <f>IFERROR(IF(AND($C$77="",$C$78=""),IF(COUNTA($C$76:$F$76,$E$79,$C$81:$F$88)+COUNTA($E$78,$C$79)&gt;0,"⚠ Pick an exercise for this card",""),IF(AND($C$77&lt;&gt;"",$C$78&lt;&gt;""),"⚠ Use the library OR a custom exercise, not both",IF(AND($C$78&lt;&gt;"",$E$78=""),"⚠ Pick a muscle group for the custom exercise",IF(COUNT($E$81:$E$88)=0,"⚠ Enter Goal Reps for at least one set",IF(SUM($Q$81:$Q$88)&gt;0,"⚠ A set is missing Goal Reps",IF(IF($C$79="",1=0,COUNTIF($P$7:$P$214,$C$79)&lt;2),"⚠ Superset "&amp;$C$79&amp;" needs 2+ exercises",IF($C$77&lt;&gt;"",IFERROR("✓ "&amp;INDEX('Exercise Library'!$C$2:$C$319,MATCH($C$77,'Exercise Library'!$B$2:$B$319,0))&amp;IF(INDEX('Exercise Library'!$D$2:$D$319,MATCH($C$77,'Exercise Library'!$B$2:$B$319,0))="Yes"," · demo video","")&amp;" · "&amp;COUNT($E$81:$E$88)&amp;" sets","⚠ Not in the library — use Custom"),"✓ Custom ("&amp;$E$78&amp;") · "&amp;COUNT($E$81:$E$88)&amp;" sets"))))))),"⚠ Check this row")</f>
      </c>
      <c r="P77">
        <f>IF(OR($C$77&lt;&gt;"",$C$78&lt;&gt;""),$C$79,"")</f>
      </c>
    </row>
    <row r="78" spans="2:6" x14ac:dyDescent="0.25">
      <c r="B78" s="18" t="s">
        <v>46</v>
      </c>
      <c r="C78" s="5"/>
      <c r="D78" s="5"/>
      <c r="E78" s="5"/>
      <c r="F78" s="18" t="s">
        <v>47</v>
      </c>
    </row>
    <row r="79" ht="22" customHeight="1" spans="2:6" x14ac:dyDescent="0.25">
      <c r="B79" s="18" t="s">
        <v>48</v>
      </c>
      <c r="C79" s="22"/>
      <c r="D79" s="18" t="s">
        <v>49</v>
      </c>
      <c r="E79" s="5"/>
      <c r="F79" s="5"/>
    </row>
    <row r="80" spans="2:6" x14ac:dyDescent="0.25">
      <c r="B80" s="23" t="s">
        <v>50</v>
      </c>
      <c r="C80" s="23" t="s">
        <v>51</v>
      </c>
      <c r="D80" s="23" t="s">
        <v>52</v>
      </c>
      <c r="E80" s="23" t="s">
        <v>53</v>
      </c>
      <c r="F80" s="23" t="s">
        <v>54</v>
      </c>
    </row>
    <row r="81" spans="2:17" x14ac:dyDescent="0.25">
      <c r="B81" s="24">
        <v>1</v>
      </c>
      <c r="C81" s="22"/>
      <c r="D81" s="22"/>
      <c r="E81" s="22"/>
      <c r="F81" s="22"/>
      <c r="Q81">
        <f>IF(AND($E81="",COUNTA($C81:$D81,$F81)&gt;0),1,0)</f>
      </c>
    </row>
    <row r="82" spans="2:17" x14ac:dyDescent="0.25">
      <c r="B82" s="24">
        <v>2</v>
      </c>
      <c r="C82" s="22"/>
      <c r="D82" s="22"/>
      <c r="E82" s="22"/>
      <c r="F82" s="22"/>
      <c r="Q82">
        <f>IF(AND($E82="",COUNTA($C82:$D82,$F82)&gt;0),1,0)</f>
      </c>
    </row>
    <row r="83" spans="2:17" x14ac:dyDescent="0.25">
      <c r="B83" s="24">
        <v>3</v>
      </c>
      <c r="C83" s="22"/>
      <c r="D83" s="22"/>
      <c r="E83" s="22"/>
      <c r="F83" s="22"/>
      <c r="Q83">
        <f>IF(AND($E83="",COUNTA($C83:$D83,$F83)&gt;0),1,0)</f>
      </c>
    </row>
    <row r="84" spans="2:17" x14ac:dyDescent="0.25">
      <c r="B84" s="24">
        <v>4</v>
      </c>
      <c r="C84" s="22"/>
      <c r="D84" s="22"/>
      <c r="E84" s="22"/>
      <c r="F84" s="22"/>
      <c r="Q84">
        <f>IF(AND($E84="",COUNTA($C84:$D84,$F84)&gt;0),1,0)</f>
      </c>
    </row>
    <row r="85" spans="2:17" x14ac:dyDescent="0.25">
      <c r="B85" s="24">
        <v>5</v>
      </c>
      <c r="C85" s="22"/>
      <c r="D85" s="22"/>
      <c r="E85" s="22"/>
      <c r="F85" s="22"/>
      <c r="Q85">
        <f>IF(AND($E85="",COUNTA($C85:$D85,$F85)&gt;0),1,0)</f>
      </c>
    </row>
    <row r="86" spans="2:17" x14ac:dyDescent="0.25">
      <c r="B86" s="24">
        <v>6</v>
      </c>
      <c r="C86" s="22"/>
      <c r="D86" s="22"/>
      <c r="E86" s="22"/>
      <c r="F86" s="22"/>
      <c r="Q86">
        <f>IF(AND($E86="",COUNTA($C86:$D86,$F86)&gt;0),1,0)</f>
      </c>
    </row>
    <row r="87" spans="2:17" x14ac:dyDescent="0.25">
      <c r="B87" s="24">
        <v>7</v>
      </c>
      <c r="C87" s="22"/>
      <c r="D87" s="22"/>
      <c r="E87" s="22"/>
      <c r="F87" s="22"/>
      <c r="Q87">
        <f>IF(AND($E87="",COUNTA($C87:$D87,$F87)&gt;0),1,0)</f>
      </c>
    </row>
    <row r="88" spans="2:17" x14ac:dyDescent="0.25">
      <c r="B88" s="24">
        <v>8</v>
      </c>
      <c r="C88" s="22"/>
      <c r="D88" s="22"/>
      <c r="E88" s="22"/>
      <c r="F88" s="22"/>
      <c r="Q88">
        <f>IF(AND($E88="",COUNTA($C88:$D88,$F88)&gt;0),1,0)</f>
      </c>
    </row>
    <row r="90" spans="2:6" x14ac:dyDescent="0.25">
      <c r="B90" s="18" t="s">
        <v>44</v>
      </c>
      <c r="C90" s="19"/>
      <c r="D90" s="19"/>
      <c r="E90" s="5"/>
      <c r="F90" s="5"/>
    </row>
    <row r="91" ht="24" customHeight="1" spans="2:16" x14ac:dyDescent="0.25">
      <c r="B91" s="20" t="s">
        <v>60</v>
      </c>
      <c r="C91" s="21"/>
      <c r="D91" s="21"/>
      <c r="E91" s="21"/>
      <c r="F91" s="21"/>
      <c r="G91" s="4">
        <f>IFERROR(IF(AND($C$91="",$C$92=""),IF(COUNTA($C$90:$F$90,$E$93,$C$95:$F$102)+COUNTA($E$92,$C$93)&gt;0,"⚠ Pick an exercise for this card",""),IF(AND($C$91&lt;&gt;"",$C$92&lt;&gt;""),"⚠ Use the library OR a custom exercise, not both",IF(AND($C$92&lt;&gt;"",$E$92=""),"⚠ Pick a muscle group for the custom exercise",IF(COUNT($E$95:$E$102)=0,"⚠ Enter Goal Reps for at least one set",IF(SUM($Q$95:$Q$102)&gt;0,"⚠ A set is missing Goal Reps",IF(IF($C$93="",1=0,COUNTIF($P$7:$P$214,$C$93)&lt;2),"⚠ Superset "&amp;$C$93&amp;" needs 2+ exercises",IF($C$91&lt;&gt;"",IFERROR("✓ "&amp;INDEX('Exercise Library'!$C$2:$C$319,MATCH($C$91,'Exercise Library'!$B$2:$B$319,0))&amp;IF(INDEX('Exercise Library'!$D$2:$D$319,MATCH($C$91,'Exercise Library'!$B$2:$B$319,0))="Yes"," · demo video","")&amp;" · "&amp;COUNT($E$95:$E$102)&amp;" sets","⚠ Not in the library — use Custom"),"✓ Custom ("&amp;$E$92&amp;") · "&amp;COUNT($E$95:$E$102)&amp;" sets"))))))),"⚠ Check this row")</f>
      </c>
      <c r="P91">
        <f>IF(OR($C$91&lt;&gt;"",$C$92&lt;&gt;""),$C$93,"")</f>
      </c>
    </row>
    <row r="92" spans="2:6" x14ac:dyDescent="0.25">
      <c r="B92" s="18" t="s">
        <v>46</v>
      </c>
      <c r="C92" s="5"/>
      <c r="D92" s="5"/>
      <c r="E92" s="5"/>
      <c r="F92" s="18" t="s">
        <v>47</v>
      </c>
    </row>
    <row r="93" ht="22" customHeight="1" spans="2:6" x14ac:dyDescent="0.25">
      <c r="B93" s="18" t="s">
        <v>48</v>
      </c>
      <c r="C93" s="22"/>
      <c r="D93" s="18" t="s">
        <v>49</v>
      </c>
      <c r="E93" s="5"/>
      <c r="F93" s="5"/>
    </row>
    <row r="94" spans="2:6" x14ac:dyDescent="0.25">
      <c r="B94" s="23" t="s">
        <v>50</v>
      </c>
      <c r="C94" s="23" t="s">
        <v>51</v>
      </c>
      <c r="D94" s="23" t="s">
        <v>52</v>
      </c>
      <c r="E94" s="23" t="s">
        <v>53</v>
      </c>
      <c r="F94" s="23" t="s">
        <v>54</v>
      </c>
    </row>
    <row r="95" spans="2:17" x14ac:dyDescent="0.25">
      <c r="B95" s="24">
        <v>1</v>
      </c>
      <c r="C95" s="22"/>
      <c r="D95" s="22"/>
      <c r="E95" s="22"/>
      <c r="F95" s="22"/>
      <c r="Q95">
        <f>IF(AND($E95="",COUNTA($C95:$D95,$F95)&gt;0),1,0)</f>
      </c>
    </row>
    <row r="96" spans="2:17" x14ac:dyDescent="0.25">
      <c r="B96" s="24">
        <v>2</v>
      </c>
      <c r="C96" s="22"/>
      <c r="D96" s="22"/>
      <c r="E96" s="22"/>
      <c r="F96" s="22"/>
      <c r="Q96">
        <f>IF(AND($E96="",COUNTA($C96:$D96,$F96)&gt;0),1,0)</f>
      </c>
    </row>
    <row r="97" spans="2:17" x14ac:dyDescent="0.25">
      <c r="B97" s="24">
        <v>3</v>
      </c>
      <c r="C97" s="22"/>
      <c r="D97" s="22"/>
      <c r="E97" s="22"/>
      <c r="F97" s="22"/>
      <c r="Q97">
        <f>IF(AND($E97="",COUNTA($C97:$D97,$F97)&gt;0),1,0)</f>
      </c>
    </row>
    <row r="98" spans="2:17" x14ac:dyDescent="0.25">
      <c r="B98" s="24">
        <v>4</v>
      </c>
      <c r="C98" s="22"/>
      <c r="D98" s="22"/>
      <c r="E98" s="22"/>
      <c r="F98" s="22"/>
      <c r="Q98">
        <f>IF(AND($E98="",COUNTA($C98:$D98,$F98)&gt;0),1,0)</f>
      </c>
    </row>
    <row r="99" spans="2:17" x14ac:dyDescent="0.25">
      <c r="B99" s="24">
        <v>5</v>
      </c>
      <c r="C99" s="22"/>
      <c r="D99" s="22"/>
      <c r="E99" s="22"/>
      <c r="F99" s="22"/>
      <c r="Q99">
        <f>IF(AND($E99="",COUNTA($C99:$D99,$F99)&gt;0),1,0)</f>
      </c>
    </row>
    <row r="100" spans="2:17" x14ac:dyDescent="0.25">
      <c r="B100" s="24">
        <v>6</v>
      </c>
      <c r="C100" s="22"/>
      <c r="D100" s="22"/>
      <c r="E100" s="22"/>
      <c r="F100" s="22"/>
      <c r="Q100">
        <f>IF(AND($E100="",COUNTA($C100:$D100,$F100)&gt;0),1,0)</f>
      </c>
    </row>
    <row r="101" spans="2:17" x14ac:dyDescent="0.25">
      <c r="B101" s="24">
        <v>7</v>
      </c>
      <c r="C101" s="22"/>
      <c r="D101" s="22"/>
      <c r="E101" s="22"/>
      <c r="F101" s="22"/>
      <c r="Q101">
        <f>IF(AND($E101="",COUNTA($C101:$D101,$F101)&gt;0),1,0)</f>
      </c>
    </row>
    <row r="102" spans="2:17" x14ac:dyDescent="0.25">
      <c r="B102" s="24">
        <v>8</v>
      </c>
      <c r="C102" s="22"/>
      <c r="D102" s="22"/>
      <c r="E102" s="22"/>
      <c r="F102" s="22"/>
      <c r="Q102">
        <f>IF(AND($E102="",COUNTA($C102:$D102,$F102)&gt;0),1,0)</f>
      </c>
    </row>
    <row r="104" spans="2:6" x14ac:dyDescent="0.25">
      <c r="B104" s="18" t="s">
        <v>44</v>
      </c>
      <c r="C104" s="19"/>
      <c r="D104" s="19"/>
      <c r="E104" s="5"/>
      <c r="F104" s="5"/>
    </row>
    <row r="105" ht="24" customHeight="1" spans="2:16" x14ac:dyDescent="0.25">
      <c r="B105" s="20" t="s">
        <v>61</v>
      </c>
      <c r="C105" s="21"/>
      <c r="D105" s="21"/>
      <c r="E105" s="21"/>
      <c r="F105" s="21"/>
      <c r="G105" s="4">
        <f>IFERROR(IF(AND($C$105="",$C$106=""),IF(COUNTA($C$104:$F$104,$E$107,$C$109:$F$116)+COUNTA($E$106,$C$107)&gt;0,"⚠ Pick an exercise for this card",""),IF(AND($C$105&lt;&gt;"",$C$106&lt;&gt;""),"⚠ Use the library OR a custom exercise, not both",IF(AND($C$106&lt;&gt;"",$E$106=""),"⚠ Pick a muscle group for the custom exercise",IF(COUNT($E$109:$E$116)=0,"⚠ Enter Goal Reps for at least one set",IF(SUM($Q$109:$Q$116)&gt;0,"⚠ A set is missing Goal Reps",IF(IF($C$107="",1=0,COUNTIF($P$7:$P$214,$C$107)&lt;2),"⚠ Superset "&amp;$C$107&amp;" needs 2+ exercises",IF($C$105&lt;&gt;"",IFERROR("✓ "&amp;INDEX('Exercise Library'!$C$2:$C$319,MATCH($C$105,'Exercise Library'!$B$2:$B$319,0))&amp;IF(INDEX('Exercise Library'!$D$2:$D$319,MATCH($C$105,'Exercise Library'!$B$2:$B$319,0))="Yes"," · demo video","")&amp;" · "&amp;COUNT($E$109:$E$116)&amp;" sets","⚠ Not in the library — use Custom"),"✓ Custom ("&amp;$E$106&amp;") · "&amp;COUNT($E$109:$E$116)&amp;" sets"))))))),"⚠ Check this row")</f>
      </c>
      <c r="P105">
        <f>IF(OR($C$105&lt;&gt;"",$C$106&lt;&gt;""),$C$107,"")</f>
      </c>
    </row>
    <row r="106" spans="2:6" x14ac:dyDescent="0.25">
      <c r="B106" s="18" t="s">
        <v>46</v>
      </c>
      <c r="C106" s="5"/>
      <c r="D106" s="5"/>
      <c r="E106" s="5"/>
      <c r="F106" s="18" t="s">
        <v>47</v>
      </c>
    </row>
    <row r="107" ht="22" customHeight="1" spans="2:6" x14ac:dyDescent="0.25">
      <c r="B107" s="18" t="s">
        <v>48</v>
      </c>
      <c r="C107" s="22"/>
      <c r="D107" s="18" t="s">
        <v>49</v>
      </c>
      <c r="E107" s="5"/>
      <c r="F107" s="5"/>
    </row>
    <row r="108" spans="2:6" x14ac:dyDescent="0.25">
      <c r="B108" s="23" t="s">
        <v>50</v>
      </c>
      <c r="C108" s="23" t="s">
        <v>51</v>
      </c>
      <c r="D108" s="23" t="s">
        <v>52</v>
      </c>
      <c r="E108" s="23" t="s">
        <v>53</v>
      </c>
      <c r="F108" s="23" t="s">
        <v>54</v>
      </c>
    </row>
    <row r="109" spans="2:17" x14ac:dyDescent="0.25">
      <c r="B109" s="24">
        <v>1</v>
      </c>
      <c r="C109" s="22"/>
      <c r="D109" s="22"/>
      <c r="E109" s="22"/>
      <c r="F109" s="22"/>
      <c r="Q109">
        <f>IF(AND($E109="",COUNTA($C109:$D109,$F109)&gt;0),1,0)</f>
      </c>
    </row>
    <row r="110" spans="2:17" x14ac:dyDescent="0.25">
      <c r="B110" s="24">
        <v>2</v>
      </c>
      <c r="C110" s="22"/>
      <c r="D110" s="22"/>
      <c r="E110" s="22"/>
      <c r="F110" s="22"/>
      <c r="Q110">
        <f>IF(AND($E110="",COUNTA($C110:$D110,$F110)&gt;0),1,0)</f>
      </c>
    </row>
    <row r="111" spans="2:17" x14ac:dyDescent="0.25">
      <c r="B111" s="24">
        <v>3</v>
      </c>
      <c r="C111" s="22"/>
      <c r="D111" s="22"/>
      <c r="E111" s="22"/>
      <c r="F111" s="22"/>
      <c r="Q111">
        <f>IF(AND($E111="",COUNTA($C111:$D111,$F111)&gt;0),1,0)</f>
      </c>
    </row>
    <row r="112" spans="2:17" x14ac:dyDescent="0.25">
      <c r="B112" s="24">
        <v>4</v>
      </c>
      <c r="C112" s="22"/>
      <c r="D112" s="22"/>
      <c r="E112" s="22"/>
      <c r="F112" s="22"/>
      <c r="Q112">
        <f>IF(AND($E112="",COUNTA($C112:$D112,$F112)&gt;0),1,0)</f>
      </c>
    </row>
    <row r="113" spans="2:17" x14ac:dyDescent="0.25">
      <c r="B113" s="24">
        <v>5</v>
      </c>
      <c r="C113" s="22"/>
      <c r="D113" s="22"/>
      <c r="E113" s="22"/>
      <c r="F113" s="22"/>
      <c r="Q113">
        <f>IF(AND($E113="",COUNTA($C113:$D113,$F113)&gt;0),1,0)</f>
      </c>
    </row>
    <row r="114" spans="2:17" x14ac:dyDescent="0.25">
      <c r="B114" s="24">
        <v>6</v>
      </c>
      <c r="C114" s="22"/>
      <c r="D114" s="22"/>
      <c r="E114" s="22"/>
      <c r="F114" s="22"/>
      <c r="Q114">
        <f>IF(AND($E114="",COUNTA($C114:$D114,$F114)&gt;0),1,0)</f>
      </c>
    </row>
    <row r="115" spans="2:17" x14ac:dyDescent="0.25">
      <c r="B115" s="24">
        <v>7</v>
      </c>
      <c r="C115" s="22"/>
      <c r="D115" s="22"/>
      <c r="E115" s="22"/>
      <c r="F115" s="22"/>
      <c r="Q115">
        <f>IF(AND($E115="",COUNTA($C115:$D115,$F115)&gt;0),1,0)</f>
      </c>
    </row>
    <row r="116" spans="2:17" x14ac:dyDescent="0.25">
      <c r="B116" s="24">
        <v>8</v>
      </c>
      <c r="C116" s="22"/>
      <c r="D116" s="22"/>
      <c r="E116" s="22"/>
      <c r="F116" s="22"/>
      <c r="Q116">
        <f>IF(AND($E116="",COUNTA($C116:$D116,$F116)&gt;0),1,0)</f>
      </c>
    </row>
    <row r="118" spans="2:6" x14ac:dyDescent="0.25">
      <c r="B118" s="18" t="s">
        <v>44</v>
      </c>
      <c r="C118" s="19"/>
      <c r="D118" s="19"/>
      <c r="E118" s="5"/>
      <c r="F118" s="5"/>
    </row>
    <row r="119" ht="24" customHeight="1" spans="2:16" x14ac:dyDescent="0.25">
      <c r="B119" s="20" t="s">
        <v>62</v>
      </c>
      <c r="C119" s="21"/>
      <c r="D119" s="21"/>
      <c r="E119" s="21"/>
      <c r="F119" s="21"/>
      <c r="G119" s="4">
        <f>IFERROR(IF(AND($C$119="",$C$120=""),IF(COUNTA($C$118:$F$118,$E$121,$C$123:$F$130)+COUNTA($E$120,$C$121)&gt;0,"⚠ Pick an exercise for this card",""),IF(AND($C$119&lt;&gt;"",$C$120&lt;&gt;""),"⚠ Use the library OR a custom exercise, not both",IF(AND($C$120&lt;&gt;"",$E$120=""),"⚠ Pick a muscle group for the custom exercise",IF(COUNT($E$123:$E$130)=0,"⚠ Enter Goal Reps for at least one set",IF(SUM($Q$123:$Q$130)&gt;0,"⚠ A set is missing Goal Reps",IF(IF($C$121="",1=0,COUNTIF($P$7:$P$214,$C$121)&lt;2),"⚠ Superset "&amp;$C$121&amp;" needs 2+ exercises",IF($C$119&lt;&gt;"",IFERROR("✓ "&amp;INDEX('Exercise Library'!$C$2:$C$319,MATCH($C$119,'Exercise Library'!$B$2:$B$319,0))&amp;IF(INDEX('Exercise Library'!$D$2:$D$319,MATCH($C$119,'Exercise Library'!$B$2:$B$319,0))="Yes"," · demo video","")&amp;" · "&amp;COUNT($E$123:$E$130)&amp;" sets","⚠ Not in the library — use Custom"),"✓ Custom ("&amp;$E$120&amp;") · "&amp;COUNT($E$123:$E$130)&amp;" sets"))))))),"⚠ Check this row")</f>
      </c>
      <c r="P119">
        <f>IF(OR($C$119&lt;&gt;"",$C$120&lt;&gt;""),$C$121,"")</f>
      </c>
    </row>
    <row r="120" spans="2:6" x14ac:dyDescent="0.25">
      <c r="B120" s="18" t="s">
        <v>46</v>
      </c>
      <c r="C120" s="5"/>
      <c r="D120" s="5"/>
      <c r="E120" s="5"/>
      <c r="F120" s="18" t="s">
        <v>47</v>
      </c>
    </row>
    <row r="121" ht="22" customHeight="1" spans="2:6" x14ac:dyDescent="0.25">
      <c r="B121" s="18" t="s">
        <v>48</v>
      </c>
      <c r="C121" s="22"/>
      <c r="D121" s="18" t="s">
        <v>49</v>
      </c>
      <c r="E121" s="5"/>
      <c r="F121" s="5"/>
    </row>
    <row r="122" spans="2:6" x14ac:dyDescent="0.25">
      <c r="B122" s="23" t="s">
        <v>50</v>
      </c>
      <c r="C122" s="23" t="s">
        <v>51</v>
      </c>
      <c r="D122" s="23" t="s">
        <v>52</v>
      </c>
      <c r="E122" s="23" t="s">
        <v>53</v>
      </c>
      <c r="F122" s="23" t="s">
        <v>54</v>
      </c>
    </row>
    <row r="123" spans="2:17" x14ac:dyDescent="0.25">
      <c r="B123" s="24">
        <v>1</v>
      </c>
      <c r="C123" s="22"/>
      <c r="D123" s="22"/>
      <c r="E123" s="22"/>
      <c r="F123" s="22"/>
      <c r="Q123">
        <f>IF(AND($E123="",COUNTA($C123:$D123,$F123)&gt;0),1,0)</f>
      </c>
    </row>
    <row r="124" spans="2:17" x14ac:dyDescent="0.25">
      <c r="B124" s="24">
        <v>2</v>
      </c>
      <c r="C124" s="22"/>
      <c r="D124" s="22"/>
      <c r="E124" s="22"/>
      <c r="F124" s="22"/>
      <c r="Q124">
        <f>IF(AND($E124="",COUNTA($C124:$D124,$F124)&gt;0),1,0)</f>
      </c>
    </row>
    <row r="125" spans="2:17" x14ac:dyDescent="0.25">
      <c r="B125" s="24">
        <v>3</v>
      </c>
      <c r="C125" s="22"/>
      <c r="D125" s="22"/>
      <c r="E125" s="22"/>
      <c r="F125" s="22"/>
      <c r="Q125">
        <f>IF(AND($E125="",COUNTA($C125:$D125,$F125)&gt;0),1,0)</f>
      </c>
    </row>
    <row r="126" spans="2:17" x14ac:dyDescent="0.25">
      <c r="B126" s="24">
        <v>4</v>
      </c>
      <c r="C126" s="22"/>
      <c r="D126" s="22"/>
      <c r="E126" s="22"/>
      <c r="F126" s="22"/>
      <c r="Q126">
        <f>IF(AND($E126="",COUNTA($C126:$D126,$F126)&gt;0),1,0)</f>
      </c>
    </row>
    <row r="127" spans="2:17" x14ac:dyDescent="0.25">
      <c r="B127" s="24">
        <v>5</v>
      </c>
      <c r="C127" s="22"/>
      <c r="D127" s="22"/>
      <c r="E127" s="22"/>
      <c r="F127" s="22"/>
      <c r="Q127">
        <f>IF(AND($E127="",COUNTA($C127:$D127,$F127)&gt;0),1,0)</f>
      </c>
    </row>
    <row r="128" spans="2:17" x14ac:dyDescent="0.25">
      <c r="B128" s="24">
        <v>6</v>
      </c>
      <c r="C128" s="22"/>
      <c r="D128" s="22"/>
      <c r="E128" s="22"/>
      <c r="F128" s="22"/>
      <c r="Q128">
        <f>IF(AND($E128="",COUNTA($C128:$D128,$F128)&gt;0),1,0)</f>
      </c>
    </row>
    <row r="129" spans="2:17" x14ac:dyDescent="0.25">
      <c r="B129" s="24">
        <v>7</v>
      </c>
      <c r="C129" s="22"/>
      <c r="D129" s="22"/>
      <c r="E129" s="22"/>
      <c r="F129" s="22"/>
      <c r="Q129">
        <f>IF(AND($E129="",COUNTA($C129:$D129,$F129)&gt;0),1,0)</f>
      </c>
    </row>
    <row r="130" spans="2:17" x14ac:dyDescent="0.25">
      <c r="B130" s="24">
        <v>8</v>
      </c>
      <c r="C130" s="22"/>
      <c r="D130" s="22"/>
      <c r="E130" s="22"/>
      <c r="F130" s="22"/>
      <c r="Q130">
        <f>IF(AND($E130="",COUNTA($C130:$D130,$F130)&gt;0),1,0)</f>
      </c>
    </row>
    <row r="132" spans="2:6" x14ac:dyDescent="0.25">
      <c r="B132" s="18" t="s">
        <v>44</v>
      </c>
      <c r="C132" s="19"/>
      <c r="D132" s="19"/>
      <c r="E132" s="5"/>
      <c r="F132" s="5"/>
    </row>
    <row r="133" ht="24" customHeight="1" spans="2:16" x14ac:dyDescent="0.25">
      <c r="B133" s="20" t="s">
        <v>63</v>
      </c>
      <c r="C133" s="21"/>
      <c r="D133" s="21"/>
      <c r="E133" s="21"/>
      <c r="F133" s="21"/>
      <c r="G133" s="4">
        <f>IFERROR(IF(AND($C$133="",$C$134=""),IF(COUNTA($C$132:$F$132,$E$135,$C$137:$F$144)+COUNTA($E$134,$C$135)&gt;0,"⚠ Pick an exercise for this card",""),IF(AND($C$133&lt;&gt;"",$C$134&lt;&gt;""),"⚠ Use the library OR a custom exercise, not both",IF(AND($C$134&lt;&gt;"",$E$134=""),"⚠ Pick a muscle group for the custom exercise",IF(COUNT($E$137:$E$144)=0,"⚠ Enter Goal Reps for at least one set",IF(SUM($Q$137:$Q$144)&gt;0,"⚠ A set is missing Goal Reps",IF(IF($C$135="",1=0,COUNTIF($P$7:$P$214,$C$135)&lt;2),"⚠ Superset "&amp;$C$135&amp;" needs 2+ exercises",IF($C$133&lt;&gt;"",IFERROR("✓ "&amp;INDEX('Exercise Library'!$C$2:$C$319,MATCH($C$133,'Exercise Library'!$B$2:$B$319,0))&amp;IF(INDEX('Exercise Library'!$D$2:$D$319,MATCH($C$133,'Exercise Library'!$B$2:$B$319,0))="Yes"," · demo video","")&amp;" · "&amp;COUNT($E$137:$E$144)&amp;" sets","⚠ Not in the library — use Custom"),"✓ Custom ("&amp;$E$134&amp;") · "&amp;COUNT($E$137:$E$144)&amp;" sets"))))))),"⚠ Check this row")</f>
      </c>
      <c r="P133">
        <f>IF(OR($C$133&lt;&gt;"",$C$134&lt;&gt;""),$C$135,"")</f>
      </c>
    </row>
    <row r="134" spans="2:6" x14ac:dyDescent="0.25">
      <c r="B134" s="18" t="s">
        <v>46</v>
      </c>
      <c r="C134" s="5"/>
      <c r="D134" s="5"/>
      <c r="E134" s="5"/>
      <c r="F134" s="18" t="s">
        <v>47</v>
      </c>
    </row>
    <row r="135" ht="22" customHeight="1" spans="2:6" x14ac:dyDescent="0.25">
      <c r="B135" s="18" t="s">
        <v>48</v>
      </c>
      <c r="C135" s="22"/>
      <c r="D135" s="18" t="s">
        <v>49</v>
      </c>
      <c r="E135" s="5"/>
      <c r="F135" s="5"/>
    </row>
    <row r="136" spans="2:6" x14ac:dyDescent="0.25">
      <c r="B136" s="23" t="s">
        <v>50</v>
      </c>
      <c r="C136" s="23" t="s">
        <v>51</v>
      </c>
      <c r="D136" s="23" t="s">
        <v>52</v>
      </c>
      <c r="E136" s="23" t="s">
        <v>53</v>
      </c>
      <c r="F136" s="23" t="s">
        <v>54</v>
      </c>
    </row>
    <row r="137" spans="2:17" x14ac:dyDescent="0.25">
      <c r="B137" s="24">
        <v>1</v>
      </c>
      <c r="C137" s="22"/>
      <c r="D137" s="22"/>
      <c r="E137" s="22"/>
      <c r="F137" s="22"/>
      <c r="Q137">
        <f>IF(AND($E137="",COUNTA($C137:$D137,$F137)&gt;0),1,0)</f>
      </c>
    </row>
    <row r="138" spans="2:17" x14ac:dyDescent="0.25">
      <c r="B138" s="24">
        <v>2</v>
      </c>
      <c r="C138" s="22"/>
      <c r="D138" s="22"/>
      <c r="E138" s="22"/>
      <c r="F138" s="22"/>
      <c r="Q138">
        <f>IF(AND($E138="",COUNTA($C138:$D138,$F138)&gt;0),1,0)</f>
      </c>
    </row>
    <row r="139" spans="2:17" x14ac:dyDescent="0.25">
      <c r="B139" s="24">
        <v>3</v>
      </c>
      <c r="C139" s="22"/>
      <c r="D139" s="22"/>
      <c r="E139" s="22"/>
      <c r="F139" s="22"/>
      <c r="Q139">
        <f>IF(AND($E139="",COUNTA($C139:$D139,$F139)&gt;0),1,0)</f>
      </c>
    </row>
    <row r="140" spans="2:17" x14ac:dyDescent="0.25">
      <c r="B140" s="24">
        <v>4</v>
      </c>
      <c r="C140" s="22"/>
      <c r="D140" s="22"/>
      <c r="E140" s="22"/>
      <c r="F140" s="22"/>
      <c r="Q140">
        <f>IF(AND($E140="",COUNTA($C140:$D140,$F140)&gt;0),1,0)</f>
      </c>
    </row>
    <row r="141" spans="2:17" x14ac:dyDescent="0.25">
      <c r="B141" s="24">
        <v>5</v>
      </c>
      <c r="C141" s="22"/>
      <c r="D141" s="22"/>
      <c r="E141" s="22"/>
      <c r="F141" s="22"/>
      <c r="Q141">
        <f>IF(AND($E141="",COUNTA($C141:$D141,$F141)&gt;0),1,0)</f>
      </c>
    </row>
    <row r="142" spans="2:17" x14ac:dyDescent="0.25">
      <c r="B142" s="24">
        <v>6</v>
      </c>
      <c r="C142" s="22"/>
      <c r="D142" s="22"/>
      <c r="E142" s="22"/>
      <c r="F142" s="22"/>
      <c r="Q142">
        <f>IF(AND($E142="",COUNTA($C142:$D142,$F142)&gt;0),1,0)</f>
      </c>
    </row>
    <row r="143" spans="2:17" x14ac:dyDescent="0.25">
      <c r="B143" s="24">
        <v>7</v>
      </c>
      <c r="C143" s="22"/>
      <c r="D143" s="22"/>
      <c r="E143" s="22"/>
      <c r="F143" s="22"/>
      <c r="Q143">
        <f>IF(AND($E143="",COUNTA($C143:$D143,$F143)&gt;0),1,0)</f>
      </c>
    </row>
    <row r="144" spans="2:17" x14ac:dyDescent="0.25">
      <c r="B144" s="24">
        <v>8</v>
      </c>
      <c r="C144" s="22"/>
      <c r="D144" s="22"/>
      <c r="E144" s="22"/>
      <c r="F144" s="22"/>
      <c r="Q144">
        <f>IF(AND($E144="",COUNTA($C144:$D144,$F144)&gt;0),1,0)</f>
      </c>
    </row>
    <row r="146" spans="2:6" x14ac:dyDescent="0.25">
      <c r="B146" s="18" t="s">
        <v>44</v>
      </c>
      <c r="C146" s="19"/>
      <c r="D146" s="19"/>
      <c r="E146" s="5"/>
      <c r="F146" s="5"/>
    </row>
    <row r="147" ht="24" customHeight="1" spans="2:16" x14ac:dyDescent="0.25">
      <c r="B147" s="20" t="s">
        <v>64</v>
      </c>
      <c r="C147" s="21"/>
      <c r="D147" s="21"/>
      <c r="E147" s="21"/>
      <c r="F147" s="21"/>
      <c r="G147" s="4">
        <f>IFERROR(IF(AND($C$147="",$C$148=""),IF(COUNTA($C$146:$F$146,$E$149,$C$151:$F$158)+COUNTA($E$148,$C$149)&gt;0,"⚠ Pick an exercise for this card",""),IF(AND($C$147&lt;&gt;"",$C$148&lt;&gt;""),"⚠ Use the library OR a custom exercise, not both",IF(AND($C$148&lt;&gt;"",$E$148=""),"⚠ Pick a muscle group for the custom exercise",IF(COUNT($E$151:$E$158)=0,"⚠ Enter Goal Reps for at least one set",IF(SUM($Q$151:$Q$158)&gt;0,"⚠ A set is missing Goal Reps",IF(IF($C$149="",1=0,COUNTIF($P$7:$P$214,$C$149)&lt;2),"⚠ Superset "&amp;$C$149&amp;" needs 2+ exercises",IF($C$147&lt;&gt;"",IFERROR("✓ "&amp;INDEX('Exercise Library'!$C$2:$C$319,MATCH($C$147,'Exercise Library'!$B$2:$B$319,0))&amp;IF(INDEX('Exercise Library'!$D$2:$D$319,MATCH($C$147,'Exercise Library'!$B$2:$B$319,0))="Yes"," · demo video","")&amp;" · "&amp;COUNT($E$151:$E$158)&amp;" sets","⚠ Not in the library — use Custom"),"✓ Custom ("&amp;$E$148&amp;") · "&amp;COUNT($E$151:$E$158)&amp;" sets"))))))),"⚠ Check this row")</f>
      </c>
      <c r="P147">
        <f>IF(OR($C$147&lt;&gt;"",$C$148&lt;&gt;""),$C$149,"")</f>
      </c>
    </row>
    <row r="148" spans="2:6" x14ac:dyDescent="0.25">
      <c r="B148" s="18" t="s">
        <v>46</v>
      </c>
      <c r="C148" s="5"/>
      <c r="D148" s="5"/>
      <c r="E148" s="5"/>
      <c r="F148" s="18" t="s">
        <v>47</v>
      </c>
    </row>
    <row r="149" ht="22" customHeight="1" spans="2:6" x14ac:dyDescent="0.25">
      <c r="B149" s="18" t="s">
        <v>48</v>
      </c>
      <c r="C149" s="22"/>
      <c r="D149" s="18" t="s">
        <v>49</v>
      </c>
      <c r="E149" s="5"/>
      <c r="F149" s="5"/>
    </row>
    <row r="150" spans="2:6" x14ac:dyDescent="0.25">
      <c r="B150" s="23" t="s">
        <v>50</v>
      </c>
      <c r="C150" s="23" t="s">
        <v>51</v>
      </c>
      <c r="D150" s="23" t="s">
        <v>52</v>
      </c>
      <c r="E150" s="23" t="s">
        <v>53</v>
      </c>
      <c r="F150" s="23" t="s">
        <v>54</v>
      </c>
    </row>
    <row r="151" spans="2:17" x14ac:dyDescent="0.25">
      <c r="B151" s="24">
        <v>1</v>
      </c>
      <c r="C151" s="22"/>
      <c r="D151" s="22"/>
      <c r="E151" s="22"/>
      <c r="F151" s="22"/>
      <c r="Q151">
        <f>IF(AND($E151="",COUNTA($C151:$D151,$F151)&gt;0),1,0)</f>
      </c>
    </row>
    <row r="152" spans="2:17" x14ac:dyDescent="0.25">
      <c r="B152" s="24">
        <v>2</v>
      </c>
      <c r="C152" s="22"/>
      <c r="D152" s="22"/>
      <c r="E152" s="22"/>
      <c r="F152" s="22"/>
      <c r="Q152">
        <f>IF(AND($E152="",COUNTA($C152:$D152,$F152)&gt;0),1,0)</f>
      </c>
    </row>
    <row r="153" spans="2:17" x14ac:dyDescent="0.25">
      <c r="B153" s="24">
        <v>3</v>
      </c>
      <c r="C153" s="22"/>
      <c r="D153" s="22"/>
      <c r="E153" s="22"/>
      <c r="F153" s="22"/>
      <c r="Q153">
        <f>IF(AND($E153="",COUNTA($C153:$D153,$F153)&gt;0),1,0)</f>
      </c>
    </row>
    <row r="154" spans="2:17" x14ac:dyDescent="0.25">
      <c r="B154" s="24">
        <v>4</v>
      </c>
      <c r="C154" s="22"/>
      <c r="D154" s="22"/>
      <c r="E154" s="22"/>
      <c r="F154" s="22"/>
      <c r="Q154">
        <f>IF(AND($E154="",COUNTA($C154:$D154,$F154)&gt;0),1,0)</f>
      </c>
    </row>
    <row r="155" spans="2:17" x14ac:dyDescent="0.25">
      <c r="B155" s="24">
        <v>5</v>
      </c>
      <c r="C155" s="22"/>
      <c r="D155" s="22"/>
      <c r="E155" s="22"/>
      <c r="F155" s="22"/>
      <c r="Q155">
        <f>IF(AND($E155="",COUNTA($C155:$D155,$F155)&gt;0),1,0)</f>
      </c>
    </row>
    <row r="156" spans="2:17" x14ac:dyDescent="0.25">
      <c r="B156" s="24">
        <v>6</v>
      </c>
      <c r="C156" s="22"/>
      <c r="D156" s="22"/>
      <c r="E156" s="22"/>
      <c r="F156" s="22"/>
      <c r="Q156">
        <f>IF(AND($E156="",COUNTA($C156:$D156,$F156)&gt;0),1,0)</f>
      </c>
    </row>
    <row r="157" spans="2:17" x14ac:dyDescent="0.25">
      <c r="B157" s="24">
        <v>7</v>
      </c>
      <c r="C157" s="22"/>
      <c r="D157" s="22"/>
      <c r="E157" s="22"/>
      <c r="F157" s="22"/>
      <c r="Q157">
        <f>IF(AND($E157="",COUNTA($C157:$D157,$F157)&gt;0),1,0)</f>
      </c>
    </row>
    <row r="158" spans="2:17" x14ac:dyDescent="0.25">
      <c r="B158" s="24">
        <v>8</v>
      </c>
      <c r="C158" s="22"/>
      <c r="D158" s="22"/>
      <c r="E158" s="22"/>
      <c r="F158" s="22"/>
      <c r="Q158">
        <f>IF(AND($E158="",COUNTA($C158:$D158,$F158)&gt;0),1,0)</f>
      </c>
    </row>
    <row r="160" spans="2:6" x14ac:dyDescent="0.25">
      <c r="B160" s="18" t="s">
        <v>44</v>
      </c>
      <c r="C160" s="19"/>
      <c r="D160" s="19"/>
      <c r="E160" s="5"/>
      <c r="F160" s="5"/>
    </row>
    <row r="161" ht="24" customHeight="1" spans="2:16" x14ac:dyDescent="0.25">
      <c r="B161" s="20" t="s">
        <v>65</v>
      </c>
      <c r="C161" s="21"/>
      <c r="D161" s="21"/>
      <c r="E161" s="21"/>
      <c r="F161" s="21"/>
      <c r="G161" s="4">
        <f>IFERROR(IF(AND($C$161="",$C$162=""),IF(COUNTA($C$160:$F$160,$E$163,$C$165:$F$172)+COUNTA($E$162,$C$163)&gt;0,"⚠ Pick an exercise for this card",""),IF(AND($C$161&lt;&gt;"",$C$162&lt;&gt;""),"⚠ Use the library OR a custom exercise, not both",IF(AND($C$162&lt;&gt;"",$E$162=""),"⚠ Pick a muscle group for the custom exercise",IF(COUNT($E$165:$E$172)=0,"⚠ Enter Goal Reps for at least one set",IF(SUM($Q$165:$Q$172)&gt;0,"⚠ A set is missing Goal Reps",IF(IF($C$163="",1=0,COUNTIF($P$7:$P$214,$C$163)&lt;2),"⚠ Superset "&amp;$C$163&amp;" needs 2+ exercises",IF($C$161&lt;&gt;"",IFERROR("✓ "&amp;INDEX('Exercise Library'!$C$2:$C$319,MATCH($C$161,'Exercise Library'!$B$2:$B$319,0))&amp;IF(INDEX('Exercise Library'!$D$2:$D$319,MATCH($C$161,'Exercise Library'!$B$2:$B$319,0))="Yes"," · demo video","")&amp;" · "&amp;COUNT($E$165:$E$172)&amp;" sets","⚠ Not in the library — use Custom"),"✓ Custom ("&amp;$E$162&amp;") · "&amp;COUNT($E$165:$E$172)&amp;" sets"))))))),"⚠ Check this row")</f>
      </c>
      <c r="P161">
        <f>IF(OR($C$161&lt;&gt;"",$C$162&lt;&gt;""),$C$163,"")</f>
      </c>
    </row>
    <row r="162" spans="2:6" x14ac:dyDescent="0.25">
      <c r="B162" s="18" t="s">
        <v>46</v>
      </c>
      <c r="C162" s="5"/>
      <c r="D162" s="5"/>
      <c r="E162" s="5"/>
      <c r="F162" s="18" t="s">
        <v>47</v>
      </c>
    </row>
    <row r="163" ht="22" customHeight="1" spans="2:6" x14ac:dyDescent="0.25">
      <c r="B163" s="18" t="s">
        <v>48</v>
      </c>
      <c r="C163" s="22"/>
      <c r="D163" s="18" t="s">
        <v>49</v>
      </c>
      <c r="E163" s="5"/>
      <c r="F163" s="5"/>
    </row>
    <row r="164" spans="2:6" x14ac:dyDescent="0.25">
      <c r="B164" s="23" t="s">
        <v>50</v>
      </c>
      <c r="C164" s="23" t="s">
        <v>51</v>
      </c>
      <c r="D164" s="23" t="s">
        <v>52</v>
      </c>
      <c r="E164" s="23" t="s">
        <v>53</v>
      </c>
      <c r="F164" s="23" t="s">
        <v>54</v>
      </c>
    </row>
    <row r="165" spans="2:17" x14ac:dyDescent="0.25">
      <c r="B165" s="24">
        <v>1</v>
      </c>
      <c r="C165" s="22"/>
      <c r="D165" s="22"/>
      <c r="E165" s="22"/>
      <c r="F165" s="22"/>
      <c r="Q165">
        <f>IF(AND($E165="",COUNTA($C165:$D165,$F165)&gt;0),1,0)</f>
      </c>
    </row>
    <row r="166" spans="2:17" x14ac:dyDescent="0.25">
      <c r="B166" s="24">
        <v>2</v>
      </c>
      <c r="C166" s="22"/>
      <c r="D166" s="22"/>
      <c r="E166" s="22"/>
      <c r="F166" s="22"/>
      <c r="Q166">
        <f>IF(AND($E166="",COUNTA($C166:$D166,$F166)&gt;0),1,0)</f>
      </c>
    </row>
    <row r="167" spans="2:17" x14ac:dyDescent="0.25">
      <c r="B167" s="24">
        <v>3</v>
      </c>
      <c r="C167" s="22"/>
      <c r="D167" s="22"/>
      <c r="E167" s="22"/>
      <c r="F167" s="22"/>
      <c r="Q167">
        <f>IF(AND($E167="",COUNTA($C167:$D167,$F167)&gt;0),1,0)</f>
      </c>
    </row>
    <row r="168" spans="2:17" x14ac:dyDescent="0.25">
      <c r="B168" s="24">
        <v>4</v>
      </c>
      <c r="C168" s="22"/>
      <c r="D168" s="22"/>
      <c r="E168" s="22"/>
      <c r="F168" s="22"/>
      <c r="Q168">
        <f>IF(AND($E168="",COUNTA($C168:$D168,$F168)&gt;0),1,0)</f>
      </c>
    </row>
    <row r="169" spans="2:17" x14ac:dyDescent="0.25">
      <c r="B169" s="24">
        <v>5</v>
      </c>
      <c r="C169" s="22"/>
      <c r="D169" s="22"/>
      <c r="E169" s="22"/>
      <c r="F169" s="22"/>
      <c r="Q169">
        <f>IF(AND($E169="",COUNTA($C169:$D169,$F169)&gt;0),1,0)</f>
      </c>
    </row>
    <row r="170" spans="2:17" x14ac:dyDescent="0.25">
      <c r="B170" s="24">
        <v>6</v>
      </c>
      <c r="C170" s="22"/>
      <c r="D170" s="22"/>
      <c r="E170" s="22"/>
      <c r="F170" s="22"/>
      <c r="Q170">
        <f>IF(AND($E170="",COUNTA($C170:$D170,$F170)&gt;0),1,0)</f>
      </c>
    </row>
    <row r="171" spans="2:17" x14ac:dyDescent="0.25">
      <c r="B171" s="24">
        <v>7</v>
      </c>
      <c r="C171" s="22"/>
      <c r="D171" s="22"/>
      <c r="E171" s="22"/>
      <c r="F171" s="22"/>
      <c r="Q171">
        <f>IF(AND($E171="",COUNTA($C171:$D171,$F171)&gt;0),1,0)</f>
      </c>
    </row>
    <row r="172" spans="2:17" x14ac:dyDescent="0.25">
      <c r="B172" s="24">
        <v>8</v>
      </c>
      <c r="C172" s="22"/>
      <c r="D172" s="22"/>
      <c r="E172" s="22"/>
      <c r="F172" s="22"/>
      <c r="Q172">
        <f>IF(AND($E172="",COUNTA($C172:$D172,$F172)&gt;0),1,0)</f>
      </c>
    </row>
    <row r="174" spans="2:6" x14ac:dyDescent="0.25">
      <c r="B174" s="18" t="s">
        <v>44</v>
      </c>
      <c r="C174" s="19"/>
      <c r="D174" s="19"/>
      <c r="E174" s="5"/>
      <c r="F174" s="5"/>
    </row>
    <row r="175" ht="24" customHeight="1" spans="2:16" x14ac:dyDescent="0.25">
      <c r="B175" s="20" t="s">
        <v>66</v>
      </c>
      <c r="C175" s="21"/>
      <c r="D175" s="21"/>
      <c r="E175" s="21"/>
      <c r="F175" s="21"/>
      <c r="G175" s="4">
        <f>IFERROR(IF(AND($C$175="",$C$176=""),IF(COUNTA($C$174:$F$174,$E$177,$C$179:$F$186)+COUNTA($E$176,$C$177)&gt;0,"⚠ Pick an exercise for this card",""),IF(AND($C$175&lt;&gt;"",$C$176&lt;&gt;""),"⚠ Use the library OR a custom exercise, not both",IF(AND($C$176&lt;&gt;"",$E$176=""),"⚠ Pick a muscle group for the custom exercise",IF(COUNT($E$179:$E$186)=0,"⚠ Enter Goal Reps for at least one set",IF(SUM($Q$179:$Q$186)&gt;0,"⚠ A set is missing Goal Reps",IF(IF($C$177="",1=0,COUNTIF($P$7:$P$214,$C$177)&lt;2),"⚠ Superset "&amp;$C$177&amp;" needs 2+ exercises",IF($C$175&lt;&gt;"",IFERROR("✓ "&amp;INDEX('Exercise Library'!$C$2:$C$319,MATCH($C$175,'Exercise Library'!$B$2:$B$319,0))&amp;IF(INDEX('Exercise Library'!$D$2:$D$319,MATCH($C$175,'Exercise Library'!$B$2:$B$319,0))="Yes"," · demo video","")&amp;" · "&amp;COUNT($E$179:$E$186)&amp;" sets","⚠ Not in the library — use Custom"),"✓ Custom ("&amp;$E$176&amp;") · "&amp;COUNT($E$179:$E$186)&amp;" sets"))))))),"⚠ Check this row")</f>
      </c>
      <c r="P175">
        <f>IF(OR($C$175&lt;&gt;"",$C$176&lt;&gt;""),$C$177,"")</f>
      </c>
    </row>
    <row r="176" spans="2:6" x14ac:dyDescent="0.25">
      <c r="B176" s="18" t="s">
        <v>46</v>
      </c>
      <c r="C176" s="5"/>
      <c r="D176" s="5"/>
      <c r="E176" s="5"/>
      <c r="F176" s="18" t="s">
        <v>47</v>
      </c>
    </row>
    <row r="177" ht="22" customHeight="1" spans="2:6" x14ac:dyDescent="0.25">
      <c r="B177" s="18" t="s">
        <v>48</v>
      </c>
      <c r="C177" s="22"/>
      <c r="D177" s="18" t="s">
        <v>49</v>
      </c>
      <c r="E177" s="5"/>
      <c r="F177" s="5"/>
    </row>
    <row r="178" spans="2:6" x14ac:dyDescent="0.25">
      <c r="B178" s="23" t="s">
        <v>50</v>
      </c>
      <c r="C178" s="23" t="s">
        <v>51</v>
      </c>
      <c r="D178" s="23" t="s">
        <v>52</v>
      </c>
      <c r="E178" s="23" t="s">
        <v>53</v>
      </c>
      <c r="F178" s="23" t="s">
        <v>54</v>
      </c>
    </row>
    <row r="179" spans="2:17" x14ac:dyDescent="0.25">
      <c r="B179" s="24">
        <v>1</v>
      </c>
      <c r="C179" s="22"/>
      <c r="D179" s="22"/>
      <c r="E179" s="22"/>
      <c r="F179" s="22"/>
      <c r="Q179">
        <f>IF(AND($E179="",COUNTA($C179:$D179,$F179)&gt;0),1,0)</f>
      </c>
    </row>
    <row r="180" spans="2:17" x14ac:dyDescent="0.25">
      <c r="B180" s="24">
        <v>2</v>
      </c>
      <c r="C180" s="22"/>
      <c r="D180" s="22"/>
      <c r="E180" s="22"/>
      <c r="F180" s="22"/>
      <c r="Q180">
        <f>IF(AND($E180="",COUNTA($C180:$D180,$F180)&gt;0),1,0)</f>
      </c>
    </row>
    <row r="181" spans="2:17" x14ac:dyDescent="0.25">
      <c r="B181" s="24">
        <v>3</v>
      </c>
      <c r="C181" s="22"/>
      <c r="D181" s="22"/>
      <c r="E181" s="22"/>
      <c r="F181" s="22"/>
      <c r="Q181">
        <f>IF(AND($E181="",COUNTA($C181:$D181,$F181)&gt;0),1,0)</f>
      </c>
    </row>
    <row r="182" spans="2:17" x14ac:dyDescent="0.25">
      <c r="B182" s="24">
        <v>4</v>
      </c>
      <c r="C182" s="22"/>
      <c r="D182" s="22"/>
      <c r="E182" s="22"/>
      <c r="F182" s="22"/>
      <c r="Q182">
        <f>IF(AND($E182="",COUNTA($C182:$D182,$F182)&gt;0),1,0)</f>
      </c>
    </row>
    <row r="183" spans="2:17" x14ac:dyDescent="0.25">
      <c r="B183" s="24">
        <v>5</v>
      </c>
      <c r="C183" s="22"/>
      <c r="D183" s="22"/>
      <c r="E183" s="22"/>
      <c r="F183" s="22"/>
      <c r="Q183">
        <f>IF(AND($E183="",COUNTA($C183:$D183,$F183)&gt;0),1,0)</f>
      </c>
    </row>
    <row r="184" spans="2:17" x14ac:dyDescent="0.25">
      <c r="B184" s="24">
        <v>6</v>
      </c>
      <c r="C184" s="22"/>
      <c r="D184" s="22"/>
      <c r="E184" s="22"/>
      <c r="F184" s="22"/>
      <c r="Q184">
        <f>IF(AND($E184="",COUNTA($C184:$D184,$F184)&gt;0),1,0)</f>
      </c>
    </row>
    <row r="185" spans="2:17" x14ac:dyDescent="0.25">
      <c r="B185" s="24">
        <v>7</v>
      </c>
      <c r="C185" s="22"/>
      <c r="D185" s="22"/>
      <c r="E185" s="22"/>
      <c r="F185" s="22"/>
      <c r="Q185">
        <f>IF(AND($E185="",COUNTA($C185:$D185,$F185)&gt;0),1,0)</f>
      </c>
    </row>
    <row r="186" spans="2:17" x14ac:dyDescent="0.25">
      <c r="B186" s="24">
        <v>8</v>
      </c>
      <c r="C186" s="22"/>
      <c r="D186" s="22"/>
      <c r="E186" s="22"/>
      <c r="F186" s="22"/>
      <c r="Q186">
        <f>IF(AND($E186="",COUNTA($C186:$D186,$F186)&gt;0),1,0)</f>
      </c>
    </row>
    <row r="188" spans="2:6" x14ac:dyDescent="0.25">
      <c r="B188" s="18" t="s">
        <v>44</v>
      </c>
      <c r="C188" s="19"/>
      <c r="D188" s="19"/>
      <c r="E188" s="5"/>
      <c r="F188" s="5"/>
    </row>
    <row r="189" ht="24" customHeight="1" spans="2:16" x14ac:dyDescent="0.25">
      <c r="B189" s="20" t="s">
        <v>67</v>
      </c>
      <c r="C189" s="21"/>
      <c r="D189" s="21"/>
      <c r="E189" s="21"/>
      <c r="F189" s="21"/>
      <c r="G189" s="4">
        <f>IFERROR(IF(AND($C$189="",$C$190=""),IF(COUNTA($C$188:$F$188,$E$191,$C$193:$F$200)+COUNTA($E$190,$C$191)&gt;0,"⚠ Pick an exercise for this card",""),IF(AND($C$189&lt;&gt;"",$C$190&lt;&gt;""),"⚠ Use the library OR a custom exercise, not both",IF(AND($C$190&lt;&gt;"",$E$190=""),"⚠ Pick a muscle group for the custom exercise",IF(COUNT($E$193:$E$200)=0,"⚠ Enter Goal Reps for at least one set",IF(SUM($Q$193:$Q$200)&gt;0,"⚠ A set is missing Goal Reps",IF(IF($C$191="",1=0,COUNTIF($P$7:$P$214,$C$191)&lt;2),"⚠ Superset "&amp;$C$191&amp;" needs 2+ exercises",IF($C$189&lt;&gt;"",IFERROR("✓ "&amp;INDEX('Exercise Library'!$C$2:$C$319,MATCH($C$189,'Exercise Library'!$B$2:$B$319,0))&amp;IF(INDEX('Exercise Library'!$D$2:$D$319,MATCH($C$189,'Exercise Library'!$B$2:$B$319,0))="Yes"," · demo video","")&amp;" · "&amp;COUNT($E$193:$E$200)&amp;" sets","⚠ Not in the library — use Custom"),"✓ Custom ("&amp;$E$190&amp;") · "&amp;COUNT($E$193:$E$200)&amp;" sets"))))))),"⚠ Check this row")</f>
      </c>
      <c r="P189">
        <f>IF(OR($C$189&lt;&gt;"",$C$190&lt;&gt;""),$C$191,"")</f>
      </c>
    </row>
    <row r="190" spans="2:6" x14ac:dyDescent="0.25">
      <c r="B190" s="18" t="s">
        <v>46</v>
      </c>
      <c r="C190" s="5"/>
      <c r="D190" s="5"/>
      <c r="E190" s="5"/>
      <c r="F190" s="18" t="s">
        <v>47</v>
      </c>
    </row>
    <row r="191" ht="22" customHeight="1" spans="2:6" x14ac:dyDescent="0.25">
      <c r="B191" s="18" t="s">
        <v>48</v>
      </c>
      <c r="C191" s="22"/>
      <c r="D191" s="18" t="s">
        <v>49</v>
      </c>
      <c r="E191" s="5"/>
      <c r="F191" s="5"/>
    </row>
    <row r="192" spans="2:6" x14ac:dyDescent="0.25">
      <c r="B192" s="23" t="s">
        <v>50</v>
      </c>
      <c r="C192" s="23" t="s">
        <v>51</v>
      </c>
      <c r="D192" s="23" t="s">
        <v>52</v>
      </c>
      <c r="E192" s="23" t="s">
        <v>53</v>
      </c>
      <c r="F192" s="23" t="s">
        <v>54</v>
      </c>
    </row>
    <row r="193" spans="2:17" x14ac:dyDescent="0.25">
      <c r="B193" s="24">
        <v>1</v>
      </c>
      <c r="C193" s="22"/>
      <c r="D193" s="22"/>
      <c r="E193" s="22"/>
      <c r="F193" s="22"/>
      <c r="Q193">
        <f>IF(AND($E193="",COUNTA($C193:$D193,$F193)&gt;0),1,0)</f>
      </c>
    </row>
    <row r="194" spans="2:17" x14ac:dyDescent="0.25">
      <c r="B194" s="24">
        <v>2</v>
      </c>
      <c r="C194" s="22"/>
      <c r="D194" s="22"/>
      <c r="E194" s="22"/>
      <c r="F194" s="22"/>
      <c r="Q194">
        <f>IF(AND($E194="",COUNTA($C194:$D194,$F194)&gt;0),1,0)</f>
      </c>
    </row>
    <row r="195" spans="2:17" x14ac:dyDescent="0.25">
      <c r="B195" s="24">
        <v>3</v>
      </c>
      <c r="C195" s="22"/>
      <c r="D195" s="22"/>
      <c r="E195" s="22"/>
      <c r="F195" s="22"/>
      <c r="Q195">
        <f>IF(AND($E195="",COUNTA($C195:$D195,$F195)&gt;0),1,0)</f>
      </c>
    </row>
    <row r="196" spans="2:17" x14ac:dyDescent="0.25">
      <c r="B196" s="24">
        <v>4</v>
      </c>
      <c r="C196" s="22"/>
      <c r="D196" s="22"/>
      <c r="E196" s="22"/>
      <c r="F196" s="22"/>
      <c r="Q196">
        <f>IF(AND($E196="",COUNTA($C196:$D196,$F196)&gt;0),1,0)</f>
      </c>
    </row>
    <row r="197" spans="2:17" x14ac:dyDescent="0.25">
      <c r="B197" s="24">
        <v>5</v>
      </c>
      <c r="C197" s="22"/>
      <c r="D197" s="22"/>
      <c r="E197" s="22"/>
      <c r="F197" s="22"/>
      <c r="Q197">
        <f>IF(AND($E197="",COUNTA($C197:$D197,$F197)&gt;0),1,0)</f>
      </c>
    </row>
    <row r="198" spans="2:17" x14ac:dyDescent="0.25">
      <c r="B198" s="24">
        <v>6</v>
      </c>
      <c r="C198" s="22"/>
      <c r="D198" s="22"/>
      <c r="E198" s="22"/>
      <c r="F198" s="22"/>
      <c r="Q198">
        <f>IF(AND($E198="",COUNTA($C198:$D198,$F198)&gt;0),1,0)</f>
      </c>
    </row>
    <row r="199" spans="2:17" x14ac:dyDescent="0.25">
      <c r="B199" s="24">
        <v>7</v>
      </c>
      <c r="C199" s="22"/>
      <c r="D199" s="22"/>
      <c r="E199" s="22"/>
      <c r="F199" s="22"/>
      <c r="Q199">
        <f>IF(AND($E199="",COUNTA($C199:$D199,$F199)&gt;0),1,0)</f>
      </c>
    </row>
    <row r="200" spans="2:17" x14ac:dyDescent="0.25">
      <c r="B200" s="24">
        <v>8</v>
      </c>
      <c r="C200" s="22"/>
      <c r="D200" s="22"/>
      <c r="E200" s="22"/>
      <c r="F200" s="22"/>
      <c r="Q200">
        <f>IF(AND($E200="",COUNTA($C200:$D200,$F200)&gt;0),1,0)</f>
      </c>
    </row>
    <row r="202" spans="2:6" x14ac:dyDescent="0.25">
      <c r="B202" s="18" t="s">
        <v>44</v>
      </c>
      <c r="C202" s="19"/>
      <c r="D202" s="19"/>
      <c r="E202" s="5"/>
      <c r="F202" s="5"/>
    </row>
    <row r="203" ht="24" customHeight="1" spans="2:16" x14ac:dyDescent="0.25">
      <c r="B203" s="20" t="s">
        <v>68</v>
      </c>
      <c r="C203" s="21"/>
      <c r="D203" s="21"/>
      <c r="E203" s="21"/>
      <c r="F203" s="21"/>
      <c r="G203" s="4">
        <f>IFERROR(IF(AND($C$203="",$C$204=""),IF(COUNTA($C$202:$F$202,$E$205,$C$207:$F$214)+COUNTA($E$204,$C$205)&gt;0,"⚠ Pick an exercise for this card",""),IF(AND($C$203&lt;&gt;"",$C$204&lt;&gt;""),"⚠ Use the library OR a custom exercise, not both",IF(AND($C$204&lt;&gt;"",$E$204=""),"⚠ Pick a muscle group for the custom exercise",IF(COUNT($E$207:$E$214)=0,"⚠ Enter Goal Reps for at least one set",IF(SUM($Q$207:$Q$214)&gt;0,"⚠ A set is missing Goal Reps",IF(IF($C$205="",1=0,COUNTIF($P$7:$P$214,$C$205)&lt;2),"⚠ Superset "&amp;$C$205&amp;" needs 2+ exercises",IF($C$203&lt;&gt;"",IFERROR("✓ "&amp;INDEX('Exercise Library'!$C$2:$C$319,MATCH($C$203,'Exercise Library'!$B$2:$B$319,0))&amp;IF(INDEX('Exercise Library'!$D$2:$D$319,MATCH($C$203,'Exercise Library'!$B$2:$B$319,0))="Yes"," · demo video","")&amp;" · "&amp;COUNT($E$207:$E$214)&amp;" sets","⚠ Not in the library — use Custom"),"✓ Custom ("&amp;$E$204&amp;") · "&amp;COUNT($E$207:$E$214)&amp;" sets"))))))),"⚠ Check this row")</f>
      </c>
      <c r="P203">
        <f>IF(OR($C$203&lt;&gt;"",$C$204&lt;&gt;""),$C$205,"")</f>
      </c>
    </row>
    <row r="204" spans="2:6" x14ac:dyDescent="0.25">
      <c r="B204" s="18" t="s">
        <v>46</v>
      </c>
      <c r="C204" s="5"/>
      <c r="D204" s="5"/>
      <c r="E204" s="5"/>
      <c r="F204" s="18" t="s">
        <v>47</v>
      </c>
    </row>
    <row r="205" ht="22" customHeight="1" spans="2:6" x14ac:dyDescent="0.25">
      <c r="B205" s="18" t="s">
        <v>48</v>
      </c>
      <c r="C205" s="22"/>
      <c r="D205" s="18" t="s">
        <v>49</v>
      </c>
      <c r="E205" s="5"/>
      <c r="F205" s="5"/>
    </row>
    <row r="206" spans="2:6" x14ac:dyDescent="0.25">
      <c r="B206" s="23" t="s">
        <v>50</v>
      </c>
      <c r="C206" s="23" t="s">
        <v>51</v>
      </c>
      <c r="D206" s="23" t="s">
        <v>52</v>
      </c>
      <c r="E206" s="23" t="s">
        <v>53</v>
      </c>
      <c r="F206" s="23" t="s">
        <v>54</v>
      </c>
    </row>
    <row r="207" spans="2:17" x14ac:dyDescent="0.25">
      <c r="B207" s="24">
        <v>1</v>
      </c>
      <c r="C207" s="22"/>
      <c r="D207" s="22"/>
      <c r="E207" s="22"/>
      <c r="F207" s="22"/>
      <c r="Q207">
        <f>IF(AND($E207="",COUNTA($C207:$D207,$F207)&gt;0),1,0)</f>
      </c>
    </row>
    <row r="208" spans="2:17" x14ac:dyDescent="0.25">
      <c r="B208" s="24">
        <v>2</v>
      </c>
      <c r="C208" s="22"/>
      <c r="D208" s="22"/>
      <c r="E208" s="22"/>
      <c r="F208" s="22"/>
      <c r="Q208">
        <f>IF(AND($E208="",COUNTA($C208:$D208,$F208)&gt;0),1,0)</f>
      </c>
    </row>
    <row r="209" spans="2:17" x14ac:dyDescent="0.25">
      <c r="B209" s="24">
        <v>3</v>
      </c>
      <c r="C209" s="22"/>
      <c r="D209" s="22"/>
      <c r="E209" s="22"/>
      <c r="F209" s="22"/>
      <c r="Q209">
        <f>IF(AND($E209="",COUNTA($C209:$D209,$F209)&gt;0),1,0)</f>
      </c>
    </row>
    <row r="210" spans="2:17" x14ac:dyDescent="0.25">
      <c r="B210" s="24">
        <v>4</v>
      </c>
      <c r="C210" s="22"/>
      <c r="D210" s="22"/>
      <c r="E210" s="22"/>
      <c r="F210" s="22"/>
      <c r="Q210">
        <f>IF(AND($E210="",COUNTA($C210:$D210,$F210)&gt;0),1,0)</f>
      </c>
    </row>
    <row r="211" spans="2:17" x14ac:dyDescent="0.25">
      <c r="B211" s="24">
        <v>5</v>
      </c>
      <c r="C211" s="22"/>
      <c r="D211" s="22"/>
      <c r="E211" s="22"/>
      <c r="F211" s="22"/>
      <c r="Q211">
        <f>IF(AND($E211="",COUNTA($C211:$D211,$F211)&gt;0),1,0)</f>
      </c>
    </row>
    <row r="212" spans="2:17" x14ac:dyDescent="0.25">
      <c r="B212" s="24">
        <v>6</v>
      </c>
      <c r="C212" s="22"/>
      <c r="D212" s="22"/>
      <c r="E212" s="22"/>
      <c r="F212" s="22"/>
      <c r="Q212">
        <f>IF(AND($E212="",COUNTA($C212:$D212,$F212)&gt;0),1,0)</f>
      </c>
    </row>
    <row r="213" spans="2:17" x14ac:dyDescent="0.25">
      <c r="B213" s="24">
        <v>7</v>
      </c>
      <c r="C213" s="22"/>
      <c r="D213" s="22"/>
      <c r="E213" s="22"/>
      <c r="F213" s="22"/>
      <c r="Q213">
        <f>IF(AND($E213="",COUNTA($C213:$D213,$F213)&gt;0),1,0)</f>
      </c>
    </row>
    <row r="214" spans="2:17" x14ac:dyDescent="0.25">
      <c r="B214" s="24">
        <v>8</v>
      </c>
      <c r="C214" s="22"/>
      <c r="D214" s="22"/>
      <c r="E214" s="22"/>
      <c r="F214" s="22"/>
      <c r="Q214">
        <f>IF(AND($E214="",COUNTA($C214:$D214,$F214)&gt;0),1,0)</f>
      </c>
    </row>
  </sheetData>
  <mergeCells count="78">
    <mergeCell ref="A1:G1"/>
    <mergeCell ref="C3:F3"/>
    <mergeCell ref="C4:F4"/>
    <mergeCell ref="C6:D6"/>
    <mergeCell ref="E6:F6"/>
    <mergeCell ref="C7:F7"/>
    <mergeCell ref="C8:D8"/>
    <mergeCell ref="E9:F9"/>
    <mergeCell ref="C20:D20"/>
    <mergeCell ref="E20:F20"/>
    <mergeCell ref="C21:F21"/>
    <mergeCell ref="C22:D22"/>
    <mergeCell ref="E23:F23"/>
    <mergeCell ref="C34:D34"/>
    <mergeCell ref="E34:F34"/>
    <mergeCell ref="C35:F35"/>
    <mergeCell ref="C36:D36"/>
    <mergeCell ref="E37:F37"/>
    <mergeCell ref="C48:D48"/>
    <mergeCell ref="E48:F48"/>
    <mergeCell ref="C49:F49"/>
    <mergeCell ref="C50:D50"/>
    <mergeCell ref="E51:F51"/>
    <mergeCell ref="C62:D62"/>
    <mergeCell ref="E62:F62"/>
    <mergeCell ref="C63:F63"/>
    <mergeCell ref="C64:D64"/>
    <mergeCell ref="E65:F65"/>
    <mergeCell ref="C76:D76"/>
    <mergeCell ref="E76:F76"/>
    <mergeCell ref="C77:F77"/>
    <mergeCell ref="C78:D78"/>
    <mergeCell ref="E79:F79"/>
    <mergeCell ref="C90:D90"/>
    <mergeCell ref="E90:F90"/>
    <mergeCell ref="C91:F91"/>
    <mergeCell ref="C92:D92"/>
    <mergeCell ref="E93:F93"/>
    <mergeCell ref="C104:D104"/>
    <mergeCell ref="E104:F104"/>
    <mergeCell ref="C105:F105"/>
    <mergeCell ref="C106:D106"/>
    <mergeCell ref="E107:F107"/>
    <mergeCell ref="C118:D118"/>
    <mergeCell ref="E118:F118"/>
    <mergeCell ref="C119:F119"/>
    <mergeCell ref="C120:D120"/>
    <mergeCell ref="E121:F121"/>
    <mergeCell ref="C132:D132"/>
    <mergeCell ref="E132:F132"/>
    <mergeCell ref="C133:F133"/>
    <mergeCell ref="C134:D134"/>
    <mergeCell ref="E135:F135"/>
    <mergeCell ref="C146:D146"/>
    <mergeCell ref="E146:F146"/>
    <mergeCell ref="C147:F147"/>
    <mergeCell ref="C148:D148"/>
    <mergeCell ref="E149:F149"/>
    <mergeCell ref="C160:D160"/>
    <mergeCell ref="E160:F160"/>
    <mergeCell ref="C161:F161"/>
    <mergeCell ref="C162:D162"/>
    <mergeCell ref="E163:F163"/>
    <mergeCell ref="C174:D174"/>
    <mergeCell ref="E174:F174"/>
    <mergeCell ref="C175:F175"/>
    <mergeCell ref="C176:D176"/>
    <mergeCell ref="E177:F177"/>
    <mergeCell ref="C188:D188"/>
    <mergeCell ref="E188:F188"/>
    <mergeCell ref="C189:F189"/>
    <mergeCell ref="C190:D190"/>
    <mergeCell ref="E191:F191"/>
    <mergeCell ref="C202:D202"/>
    <mergeCell ref="E202:F202"/>
    <mergeCell ref="C203:F203"/>
    <mergeCell ref="C204:D204"/>
    <mergeCell ref="E205:F205"/>
  </mergeCells>
  <conditionalFormatting sqref="A1:G1">
    <cfRule type="expression" dxfId="51" priority="1">
      <formula>$O$1="FILL"</formula>
    </cfRule>
    <cfRule type="expression" dxfId="52" priority="2">
      <formula>$O$1="SKIP"</formula>
    </cfRule>
    <cfRule type="expression" dxfId="53" priority="3">
      <formula>$O$1=""</formula>
    </cfRule>
  </conditionalFormatting>
  <conditionalFormatting sqref="G3:G214">
    <cfRule type="expression" dxfId="54" priority="1">
      <formula>LEFT(G3,1)="⚠"</formula>
    </cfRule>
    <cfRule type="expression" dxfId="55" priority="2">
      <formula>LEFT(G3,1)="✓"</formula>
    </cfRule>
  </conditionalFormatting>
  <conditionalFormatting sqref="C3:F214">
    <cfRule type="expression" dxfId="56" priority="1">
      <formula>$O$1="SKIP"</formula>
    </cfRule>
  </conditionalFormatting>
  <dataValidations count="121">
    <dataValidation type="list" allowBlank="1" showInputMessage="1" prompt="Pick from the RepLab exercise library (type to search). Library exercises come with demo videos." showErrorMessage="1" errorStyle="stop" errorTitle="Pick from the list" error="Choose one of the options in the dropdown." sqref="C105">
      <formula1>'Exercise Library'!$B$2:$B$319</formula1>
    </dataValidation>
    <dataValidation type="textLength" operator="lessThanOrEqual" allowBlank="1" showErrorMessage="1" error="200 characters or fewer." sqref="C106">
      <formula1>200</formula1>
    </dataValidation>
    <dataValidation type="list" allowBlank="1" showInputMessage="1" prompt="Same letter = same superset" showErrorMessage="1" errorStyle="stop" errorTitle="Pick from the list" error="Choose one of the options in the dropdown." sqref="C107">
      <formula1>Lists!$E$2:$E$11</formula1>
    </dataValidation>
    <dataValidation type="list" allowBlank="1" showErrorMessage="1" errorStyle="stop" errorTitle="Pick from the list" error="Choose one of the options in the dropdown." sqref="C109:C11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19">
      <formula1>'Exercise Library'!$B$2:$B$319</formula1>
    </dataValidation>
    <dataValidation type="list" allowBlank="1" showErrorMessage="1" errorStyle="stop" errorTitle="Pick from the list" error="Choose one of the options in the dropdown." sqref="C11:C18">
      <formula1>Lists!$B$2:$B$9</formula1>
    </dataValidation>
    <dataValidation type="textLength" operator="lessThanOrEqual" allowBlank="1" showErrorMessage="1" error="200 characters or fewer." sqref="C120">
      <formula1>200</formula1>
    </dataValidation>
    <dataValidation type="list" allowBlank="1" showInputMessage="1" prompt="Same letter = same superset" showErrorMessage="1" errorStyle="stop" errorTitle="Pick from the list" error="Choose one of the options in the dropdown." sqref="C121">
      <formula1>Lists!$E$2:$E$11</formula1>
    </dataValidation>
    <dataValidation type="list" allowBlank="1" showErrorMessage="1" errorStyle="stop" errorTitle="Pick from the list" error="Choose one of the options in the dropdown." sqref="C123:C13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33">
      <formula1>'Exercise Library'!$B$2:$B$319</formula1>
    </dataValidation>
    <dataValidation type="textLength" operator="lessThanOrEqual" allowBlank="1" showErrorMessage="1" error="200 characters or fewer." sqref="C134">
      <formula1>200</formula1>
    </dataValidation>
    <dataValidation type="list" allowBlank="1" showInputMessage="1" prompt="Same letter = same superset" showErrorMessage="1" errorStyle="stop" errorTitle="Pick from the list" error="Choose one of the options in the dropdown." sqref="C135">
      <formula1>Lists!$E$2:$E$11</formula1>
    </dataValidation>
    <dataValidation type="list" allowBlank="1" showErrorMessage="1" errorStyle="stop" errorTitle="Pick from the list" error="Choose one of the options in the dropdown." sqref="C137:C14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47">
      <formula1>'Exercise Library'!$B$2:$B$319</formula1>
    </dataValidation>
    <dataValidation type="textLength" operator="lessThanOrEqual" allowBlank="1" showErrorMessage="1" error="200 characters or fewer." sqref="C148">
      <formula1>200</formula1>
    </dataValidation>
    <dataValidation type="list" allowBlank="1" showInputMessage="1" prompt="Same letter = same superset" showErrorMessage="1" errorStyle="stop" errorTitle="Pick from the list" error="Choose one of the options in the dropdown." sqref="C149">
      <formula1>Lists!$E$2:$E$11</formula1>
    </dataValidation>
    <dataValidation type="list" allowBlank="1" showErrorMessage="1" errorStyle="stop" errorTitle="Pick from the list" error="Choose one of the options in the dropdown." sqref="C151:C158">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61">
      <formula1>'Exercise Library'!$B$2:$B$319</formula1>
    </dataValidation>
    <dataValidation type="textLength" operator="lessThanOrEqual" allowBlank="1" showErrorMessage="1" error="200 characters or fewer." sqref="C162">
      <formula1>200</formula1>
    </dataValidation>
    <dataValidation type="list" allowBlank="1" showInputMessage="1" prompt="Same letter = same superset" showErrorMessage="1" errorStyle="stop" errorTitle="Pick from the list" error="Choose one of the options in the dropdown." sqref="C163">
      <formula1>Lists!$E$2:$E$11</formula1>
    </dataValidation>
    <dataValidation type="list" allowBlank="1" showErrorMessage="1" errorStyle="stop" errorTitle="Pick from the list" error="Choose one of the options in the dropdown." sqref="C165:C172">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75">
      <formula1>'Exercise Library'!$B$2:$B$319</formula1>
    </dataValidation>
    <dataValidation type="textLength" operator="lessThanOrEqual" allowBlank="1" showErrorMessage="1" error="200 characters or fewer." sqref="C176">
      <formula1>200</formula1>
    </dataValidation>
    <dataValidation type="list" allowBlank="1" showInputMessage="1" prompt="Same letter = same superset" showErrorMessage="1" errorStyle="stop" errorTitle="Pick from the list" error="Choose one of the options in the dropdown." sqref="C177">
      <formula1>Lists!$E$2:$E$11</formula1>
    </dataValidation>
    <dataValidation type="list" allowBlank="1" showErrorMessage="1" errorStyle="stop" errorTitle="Pick from the list" error="Choose one of the options in the dropdown." sqref="C179:C18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89">
      <formula1>'Exercise Library'!$B$2:$B$319</formula1>
    </dataValidation>
    <dataValidation type="textLength" operator="lessThanOrEqual" allowBlank="1" showErrorMessage="1" error="200 characters or fewer." sqref="C190">
      <formula1>200</formula1>
    </dataValidation>
    <dataValidation type="list" allowBlank="1" showInputMessage="1" prompt="Same letter = same superset" showErrorMessage="1" errorStyle="stop" errorTitle="Pick from the list" error="Choose one of the options in the dropdown." sqref="C191">
      <formula1>Lists!$E$2:$E$11</formula1>
    </dataValidation>
    <dataValidation type="list" allowBlank="1" showErrorMessage="1" errorStyle="stop" errorTitle="Pick from the list" error="Choose one of the options in the dropdown." sqref="C193:C20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03">
      <formula1>'Exercise Library'!$B$2:$B$319</formula1>
    </dataValidation>
    <dataValidation type="textLength" operator="lessThanOrEqual" allowBlank="1" showErrorMessage="1" error="200 characters or fewer." sqref="C204">
      <formula1>200</formula1>
    </dataValidation>
    <dataValidation type="list" allowBlank="1" showInputMessage="1" prompt="Same letter = same superset" showErrorMessage="1" errorStyle="stop" errorTitle="Pick from the list" error="Choose one of the options in the dropdown." sqref="C205">
      <formula1>Lists!$E$2:$E$11</formula1>
    </dataValidation>
    <dataValidation type="list" allowBlank="1" showErrorMessage="1" errorStyle="stop" errorTitle="Pick from the list" error="Choose one of the options in the dropdown." sqref="C207:C21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1">
      <formula1>'Exercise Library'!$B$2:$B$319</formula1>
    </dataValidation>
    <dataValidation type="textLength" operator="lessThanOrEqual" allowBlank="1" showErrorMessage="1" error="200 characters or fewer." sqref="C22">
      <formula1>200</formula1>
    </dataValidation>
    <dataValidation type="list" allowBlank="1" showInputMessage="1" prompt="Same letter = same superset" showErrorMessage="1" errorStyle="stop" errorTitle="Pick from the list" error="Choose one of the options in the dropdown." sqref="C23">
      <formula1>Lists!$E$2:$E$11</formula1>
    </dataValidation>
    <dataValidation type="list" allowBlank="1" showErrorMessage="1" errorStyle="stop" errorTitle="Pick from the list" error="Choose one of the options in the dropdown." sqref="C25:C32">
      <formula1>Lists!$B$2:$B$9</formula1>
    </dataValidation>
    <dataValidation type="textLength" operator="lessThanOrEqual" allowBlank="1" showErrorMessage="1" error="200 characters or fewer." sqref="C3">
      <formula1>200</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35">
      <formula1>'Exercise Library'!$B$2:$B$319</formula1>
    </dataValidation>
    <dataValidation type="textLength" operator="lessThanOrEqual" allowBlank="1" showErrorMessage="1" error="200 characters or fewer." sqref="C36">
      <formula1>200</formula1>
    </dataValidation>
    <dataValidation type="list" allowBlank="1" showInputMessage="1" prompt="Same letter = same superset" showErrorMessage="1" errorStyle="stop" errorTitle="Pick from the list" error="Choose one of the options in the dropdown." sqref="C37">
      <formula1>Lists!$E$2:$E$11</formula1>
    </dataValidation>
    <dataValidation type="list" allowBlank="1" showErrorMessage="1" errorStyle="stop" errorTitle="Pick from the list" error="Choose one of the options in the dropdown." sqref="C39:C4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49">
      <formula1>'Exercise Library'!$B$2:$B$319</formula1>
    </dataValidation>
    <dataValidation type="textLength" operator="lessThanOrEqual" allowBlank="1" showErrorMessage="1" error="200 characters or fewer." sqref="C50">
      <formula1>200</formula1>
    </dataValidation>
    <dataValidation type="list" allowBlank="1" showInputMessage="1" prompt="Same letter = same superset" showErrorMessage="1" errorStyle="stop" errorTitle="Pick from the list" error="Choose one of the options in the dropdown." sqref="C51">
      <formula1>Lists!$E$2:$E$11</formula1>
    </dataValidation>
    <dataValidation type="list" allowBlank="1" showErrorMessage="1" errorStyle="stop" errorTitle="Pick from the list" error="Choose one of the options in the dropdown." sqref="C53:C6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63">
      <formula1>'Exercise Library'!$B$2:$B$319</formula1>
    </dataValidation>
    <dataValidation type="textLength" operator="lessThanOrEqual" allowBlank="1" showErrorMessage="1" error="200 characters or fewer." sqref="C64">
      <formula1>200</formula1>
    </dataValidation>
    <dataValidation type="list" allowBlank="1" showInputMessage="1" prompt="Same letter = same superset" showErrorMessage="1" errorStyle="stop" errorTitle="Pick from the list" error="Choose one of the options in the dropdown." sqref="C65">
      <formula1>Lists!$E$2:$E$11</formula1>
    </dataValidation>
    <dataValidation type="list" allowBlank="1" showErrorMessage="1" errorStyle="stop" errorTitle="Pick from the list" error="Choose one of the options in the dropdown." sqref="C67:C7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
      <formula1>'Exercise Library'!$B$2:$B$319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7">
      <formula1>'Exercise Library'!$B$2:$B$319</formula1>
    </dataValidation>
    <dataValidation type="textLength" operator="lessThanOrEqual" allowBlank="1" showErrorMessage="1" error="200 characters or fewer." sqref="C78">
      <formula1>200</formula1>
    </dataValidation>
    <dataValidation type="list" allowBlank="1" showInputMessage="1" prompt="Same letter = same superset" showErrorMessage="1" errorStyle="stop" errorTitle="Pick from the list" error="Choose one of the options in the dropdown." sqref="C79">
      <formula1>Lists!$E$2:$E$11</formula1>
    </dataValidation>
    <dataValidation type="textLength" operator="lessThanOrEqual" allowBlank="1" showErrorMessage="1" error="200 characters or fewer." sqref="C8">
      <formula1>200</formula1>
    </dataValidation>
    <dataValidation type="list" allowBlank="1" showErrorMessage="1" errorStyle="stop" errorTitle="Pick from the list" error="Choose one of the options in the dropdown." sqref="C81:C88">
      <formula1>Lists!$B$2:$B$9</formula1>
    </dataValidation>
    <dataValidation type="list" allowBlank="1" showInputMessage="1" prompt="Same letter = same superset" showErrorMessage="1" errorStyle="stop" errorTitle="Pick from the list" error="Choose one of the options in the dropdown." sqref="C9">
      <formula1>Lists!$E$2:$E$11</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91">
      <formula1>'Exercise Library'!$B$2:$B$319</formula1>
    </dataValidation>
    <dataValidation type="textLength" operator="lessThanOrEqual" allowBlank="1" showErrorMessage="1" error="200 characters or fewer." sqref="C92">
      <formula1>200</formula1>
    </dataValidation>
    <dataValidation type="list" allowBlank="1" showInputMessage="1" prompt="Same letter = same superset" showErrorMessage="1" errorStyle="stop" errorTitle="Pick from the list" error="Choose one of the options in the dropdown." sqref="C93">
      <formula1>Lists!$E$2:$E$11</formula1>
    </dataValidation>
    <dataValidation type="list" allowBlank="1" showErrorMessage="1" errorStyle="stop" errorTitle="Pick from the list" error="Choose one of the options in the dropdown." sqref="C95:C102">
      <formula1>Lists!$B$2:$B$9</formula1>
    </dataValidation>
    <dataValidation type="decimal" allowBlank="1" showErrorMessage="1" error="Goal weight: a number from 0 to 2000 (lbs)." sqref="D109:D116">
      <formula1>0</formula1>
      <formula2>2000</formula2>
    </dataValidation>
    <dataValidation type="decimal" allowBlank="1" showErrorMessage="1" error="Goal weight: a number from 0 to 2000 (lbs)." sqref="D11:D18">
      <formula1>0</formula1>
      <formula2>2000</formula2>
    </dataValidation>
    <dataValidation type="decimal" allowBlank="1" showErrorMessage="1" error="Goal weight: a number from 0 to 2000 (lbs)." sqref="D123:D130">
      <formula1>0</formula1>
      <formula2>2000</formula2>
    </dataValidation>
    <dataValidation type="decimal" allowBlank="1" showErrorMessage="1" error="Goal weight: a number from 0 to 2000 (lbs)." sqref="D137:D144">
      <formula1>0</formula1>
      <formula2>2000</formula2>
    </dataValidation>
    <dataValidation type="decimal" allowBlank="1" showErrorMessage="1" error="Goal weight: a number from 0 to 2000 (lbs)." sqref="D151:D158">
      <formula1>0</formula1>
      <formula2>2000</formula2>
    </dataValidation>
    <dataValidation type="decimal" allowBlank="1" showErrorMessage="1" error="Goal weight: a number from 0 to 2000 (lbs)." sqref="D165:D172">
      <formula1>0</formula1>
      <formula2>2000</formula2>
    </dataValidation>
    <dataValidation type="decimal" allowBlank="1" showErrorMessage="1" error="Goal weight: a number from 0 to 2000 (lbs)." sqref="D179:D186">
      <formula1>0</formula1>
      <formula2>2000</formula2>
    </dataValidation>
    <dataValidation type="decimal" allowBlank="1" showErrorMessage="1" error="Goal weight: a number from 0 to 2000 (lbs)." sqref="D193:D200">
      <formula1>0</formula1>
      <formula2>2000</formula2>
    </dataValidation>
    <dataValidation type="decimal" allowBlank="1" showErrorMessage="1" error="Goal weight: a number from 0 to 2000 (lbs)." sqref="D207:D214">
      <formula1>0</formula1>
      <formula2>2000</formula2>
    </dataValidation>
    <dataValidation type="decimal" allowBlank="1" showErrorMessage="1" error="Goal weight: a number from 0 to 2000 (lbs)." sqref="D25:D32">
      <formula1>0</formula1>
      <formula2>2000</formula2>
    </dataValidation>
    <dataValidation type="decimal" allowBlank="1" showErrorMessage="1" error="Goal weight: a number from 0 to 2000 (lbs)." sqref="D39:D46">
      <formula1>0</formula1>
      <formula2>2000</formula2>
    </dataValidation>
    <dataValidation type="decimal" allowBlank="1" showErrorMessage="1" error="Goal weight: a number from 0 to 2000 (lbs)." sqref="D53:D60">
      <formula1>0</formula1>
      <formula2>2000</formula2>
    </dataValidation>
    <dataValidation type="decimal" allowBlank="1" showErrorMessage="1" error="Goal weight: a number from 0 to 2000 (lbs)." sqref="D67:D74">
      <formula1>0</formula1>
      <formula2>2000</formula2>
    </dataValidation>
    <dataValidation type="decimal" allowBlank="1" showErrorMessage="1" error="Goal weight: a number from 0 to 2000 (lbs)." sqref="D81:D88">
      <formula1>0</formula1>
      <formula2>2000</formula2>
    </dataValidation>
    <dataValidation type="decimal" allowBlank="1" showErrorMessage="1" error="Goal weight: a number from 0 to 2000 (lbs)." sqref="D95:D102">
      <formula1>0</formula1>
      <formula2>2000</formula2>
    </dataValidation>
    <dataValidation type="list" allowBlank="1" showInputMessage="1" prompt="Muscle group for the custom exercise" showErrorMessage="1" errorStyle="stop" errorTitle="Pick from the list" error="Choose one of the options in the dropdown." sqref="E106">
      <formula1>Lists!$D$2:$D$15</formula1>
    </dataValidation>
    <dataValidation type="whole" allowBlank="1" showErrorMessage="1" error="Goal reps: a whole number from 0 to 100." sqref="E109:E116">
      <formula1>0</formula1>
      <formula2>100</formula2>
    </dataValidation>
    <dataValidation type="whole" allowBlank="1" showErrorMessage="1" error="Goal reps: a whole number from 0 to 100." sqref="E11:E18">
      <formula1>0</formula1>
      <formula2>100</formula2>
    </dataValidation>
    <dataValidation type="list" allowBlank="1" showInputMessage="1" prompt="Muscle group for the custom exercise" showErrorMessage="1" errorStyle="stop" errorTitle="Pick from the list" error="Choose one of the options in the dropdown." sqref="E120">
      <formula1>Lists!$D$2:$D$15</formula1>
    </dataValidation>
    <dataValidation type="whole" allowBlank="1" showErrorMessage="1" error="Goal reps: a whole number from 0 to 100." sqref="E123:E130">
      <formula1>0</formula1>
      <formula2>100</formula2>
    </dataValidation>
    <dataValidation type="list" allowBlank="1" showInputMessage="1" prompt="Muscle group for the custom exercise" showErrorMessage="1" errorStyle="stop" errorTitle="Pick from the list" error="Choose one of the options in the dropdown." sqref="E134">
      <formula1>Lists!$D$2:$D$15</formula1>
    </dataValidation>
    <dataValidation type="whole" allowBlank="1" showErrorMessage="1" error="Goal reps: a whole number from 0 to 100." sqref="E137:E144">
      <formula1>0</formula1>
      <formula2>100</formula2>
    </dataValidation>
    <dataValidation type="list" allowBlank="1" showInputMessage="1" prompt="Muscle group for the custom exercise" showErrorMessage="1" errorStyle="stop" errorTitle="Pick from the list" error="Choose one of the options in the dropdown." sqref="E148">
      <formula1>Lists!$D$2:$D$15</formula1>
    </dataValidation>
    <dataValidation type="whole" allowBlank="1" showErrorMessage="1" error="Goal reps: a whole number from 0 to 100." sqref="E151:E158">
      <formula1>0</formula1>
      <formula2>100</formula2>
    </dataValidation>
    <dataValidation type="list" allowBlank="1" showInputMessage="1" prompt="Muscle group for the custom exercise" showErrorMessage="1" errorStyle="stop" errorTitle="Pick from the list" error="Choose one of the options in the dropdown." sqref="E162">
      <formula1>Lists!$D$2:$D$15</formula1>
    </dataValidation>
    <dataValidation type="whole" allowBlank="1" showErrorMessage="1" error="Goal reps: a whole number from 0 to 100." sqref="E165:E172">
      <formula1>0</formula1>
      <formula2>100</formula2>
    </dataValidation>
    <dataValidation type="list" allowBlank="1" showInputMessage="1" prompt="Muscle group for the custom exercise" showErrorMessage="1" errorStyle="stop" errorTitle="Pick from the list" error="Choose one of the options in the dropdown." sqref="E176">
      <formula1>Lists!$D$2:$D$15</formula1>
    </dataValidation>
    <dataValidation type="whole" allowBlank="1" showErrorMessage="1" error="Goal reps: a whole number from 0 to 100." sqref="E179:E186">
      <formula1>0</formula1>
      <formula2>100</formula2>
    </dataValidation>
    <dataValidation type="list" allowBlank="1" showInputMessage="1" prompt="Muscle group for the custom exercise" showErrorMessage="1" errorStyle="stop" errorTitle="Pick from the list" error="Choose one of the options in the dropdown." sqref="E190">
      <formula1>Lists!$D$2:$D$15</formula1>
    </dataValidation>
    <dataValidation type="whole" allowBlank="1" showErrorMessage="1" error="Goal reps: a whole number from 0 to 100." sqref="E193:E200">
      <formula1>0</formula1>
      <formula2>100</formula2>
    </dataValidation>
    <dataValidation type="list" allowBlank="1" showInputMessage="1" prompt="Muscle group for the custom exercise" showErrorMessage="1" errorStyle="stop" errorTitle="Pick from the list" error="Choose one of the options in the dropdown." sqref="E204">
      <formula1>Lists!$D$2:$D$15</formula1>
    </dataValidation>
    <dataValidation type="whole" allowBlank="1" showErrorMessage="1" error="Goal reps: a whole number from 0 to 100." sqref="E207:E214">
      <formula1>0</formula1>
      <formula2>100</formula2>
    </dataValidation>
    <dataValidation type="list" allowBlank="1" showInputMessage="1" prompt="Muscle group for the custom exercise" showErrorMessage="1" errorStyle="stop" errorTitle="Pick from the list" error="Choose one of the options in the dropdown." sqref="E22">
      <formula1>Lists!$D$2:$D$15</formula1>
    </dataValidation>
    <dataValidation type="whole" allowBlank="1" showErrorMessage="1" error="Goal reps: a whole number from 0 to 100." sqref="E25:E32">
      <formula1>0</formula1>
      <formula2>100</formula2>
    </dataValidation>
    <dataValidation type="list" allowBlank="1" showInputMessage="1" prompt="Muscle group for the custom exercise" showErrorMessage="1" errorStyle="stop" errorTitle="Pick from the list" error="Choose one of the options in the dropdown." sqref="E36">
      <formula1>Lists!$D$2:$D$15</formula1>
    </dataValidation>
    <dataValidation type="whole" allowBlank="1" showErrorMessage="1" error="Goal reps: a whole number from 0 to 100." sqref="E39:E46">
      <formula1>0</formula1>
      <formula2>100</formula2>
    </dataValidation>
    <dataValidation type="list" allowBlank="1" showInputMessage="1" prompt="Muscle group for the custom exercise" showErrorMessage="1" errorStyle="stop" errorTitle="Pick from the list" error="Choose one of the options in the dropdown." sqref="E50">
      <formula1>Lists!$D$2:$D$15</formula1>
    </dataValidation>
    <dataValidation type="whole" allowBlank="1" showErrorMessage="1" error="Goal reps: a whole number from 0 to 100." sqref="E53:E60">
      <formula1>0</formula1>
      <formula2>100</formula2>
    </dataValidation>
    <dataValidation type="list" allowBlank="1" showInputMessage="1" prompt="Muscle group for the custom exercise" showErrorMessage="1" errorStyle="stop" errorTitle="Pick from the list" error="Choose one of the options in the dropdown." sqref="E64">
      <formula1>Lists!$D$2:$D$15</formula1>
    </dataValidation>
    <dataValidation type="whole" allowBlank="1" showErrorMessage="1" error="Goal reps: a whole number from 0 to 100." sqref="E67:E74">
      <formula1>0</formula1>
      <formula2>100</formula2>
    </dataValidation>
    <dataValidation type="list" allowBlank="1" showInputMessage="1" prompt="Muscle group for the custom exercise" showErrorMessage="1" errorStyle="stop" errorTitle="Pick from the list" error="Choose one of the options in the dropdown." sqref="E78">
      <formula1>Lists!$D$2:$D$15</formula1>
    </dataValidation>
    <dataValidation type="list" allowBlank="1" showInputMessage="1" prompt="Muscle group for the custom exercise" showErrorMessage="1" errorStyle="stop" errorTitle="Pick from the list" error="Choose one of the options in the dropdown." sqref="E8">
      <formula1>Lists!$D$2:$D$15</formula1>
    </dataValidation>
    <dataValidation type="whole" allowBlank="1" showErrorMessage="1" error="Goal reps: a whole number from 0 to 100." sqref="E81:E88">
      <formula1>0</formula1>
      <formula2>100</formula2>
    </dataValidation>
    <dataValidation type="list" allowBlank="1" showInputMessage="1" prompt="Muscle group for the custom exercise" showErrorMessage="1" errorStyle="stop" errorTitle="Pick from the list" error="Choose one of the options in the dropdown." sqref="E92">
      <formula1>Lists!$D$2:$D$15</formula1>
    </dataValidation>
    <dataValidation type="whole" allowBlank="1" showErrorMessage="1" error="Goal reps: a whole number from 0 to 100." sqref="E95:E102">
      <formula1>0</formula1>
      <formula2>100</formula2>
    </dataValidation>
    <dataValidation type="textLength" operator="lessThanOrEqual" allowBlank="1" showErrorMessage="1" error="Keep the rep range short, e.g. 8-12." sqref="F109:F116">
      <formula1>20</formula1>
    </dataValidation>
    <dataValidation type="textLength" operator="lessThanOrEqual" allowBlank="1" showErrorMessage="1" error="Keep the rep range short, e.g. 8-12." sqref="F11:F18">
      <formula1>20</formula1>
    </dataValidation>
    <dataValidation type="textLength" operator="lessThanOrEqual" allowBlank="1" showErrorMessage="1" error="Keep the rep range short, e.g. 8-12." sqref="F123:F130">
      <formula1>20</formula1>
    </dataValidation>
    <dataValidation type="textLength" operator="lessThanOrEqual" allowBlank="1" showErrorMessage="1" error="Keep the rep range short, e.g. 8-12." sqref="F137:F144">
      <formula1>20</formula1>
    </dataValidation>
    <dataValidation type="textLength" operator="lessThanOrEqual" allowBlank="1" showErrorMessage="1" error="Keep the rep range short, e.g. 8-12." sqref="F151:F158">
      <formula1>20</formula1>
    </dataValidation>
    <dataValidation type="textLength" operator="lessThanOrEqual" allowBlank="1" showErrorMessage="1" error="Keep the rep range short, e.g. 8-12." sqref="F165:F172">
      <formula1>20</formula1>
    </dataValidation>
    <dataValidation type="textLength" operator="lessThanOrEqual" allowBlank="1" showErrorMessage="1" error="Keep the rep range short, e.g. 8-12." sqref="F179:F186">
      <formula1>20</formula1>
    </dataValidation>
    <dataValidation type="textLength" operator="lessThanOrEqual" allowBlank="1" showErrorMessage="1" error="Keep the rep range short, e.g. 8-12." sqref="F193:F200">
      <formula1>20</formula1>
    </dataValidation>
    <dataValidation type="textLength" operator="lessThanOrEqual" allowBlank="1" showErrorMessage="1" error="Keep the rep range short, e.g. 8-12." sqref="F207:F214">
      <formula1>20</formula1>
    </dataValidation>
    <dataValidation type="textLength" operator="lessThanOrEqual" allowBlank="1" showErrorMessage="1" error="Keep the rep range short, e.g. 8-12." sqref="F25:F32">
      <formula1>20</formula1>
    </dataValidation>
    <dataValidation type="textLength" operator="lessThanOrEqual" allowBlank="1" showErrorMessage="1" error="Keep the rep range short, e.g. 8-12." sqref="F39:F46">
      <formula1>20</formula1>
    </dataValidation>
    <dataValidation type="textLength" operator="lessThanOrEqual" allowBlank="1" showErrorMessage="1" error="Keep the rep range short, e.g. 8-12." sqref="F53:F60">
      <formula1>20</formula1>
    </dataValidation>
    <dataValidation type="textLength" operator="lessThanOrEqual" allowBlank="1" showErrorMessage="1" error="Keep the rep range short, e.g. 8-12." sqref="F67:F74">
      <formula1>20</formula1>
    </dataValidation>
    <dataValidation type="textLength" operator="lessThanOrEqual" allowBlank="1" showErrorMessage="1" error="Keep the rep range short, e.g. 8-12." sqref="F81:F88">
      <formula1>20</formula1>
    </dataValidation>
    <dataValidation type="textLength" operator="lessThanOrEqual" allowBlank="1" showErrorMessage="1" error="Keep the rep range short, e.g. 8-12." sqref="F95:F102">
      <formula1>20</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A6EA5"/>
  </sheetPr>
  <dimension ref="A1:Q214"/>
  <sheetViews>
    <sheetView workbookViewId="0" showGridLines="0">
      <pane ySplit="4" topLeftCell="A5" activePane="bottomLeft" state="frozen"/>
      <selection pane="bottomLeft"/>
    </sheetView>
  </sheetViews>
  <sheetFormatPr defaultRowHeight="15" outlineLevelRow="0" outlineLevelCol="0" x14ac:dyDescent="55"/>
  <cols>
    <col min="1" max="1" width="2" customWidth="1"/>
    <col min="2" max="2" width="13" customWidth="1"/>
    <col min="3" max="3" width="18" customWidth="1"/>
    <col min="4" max="6" width="14" customWidth="1"/>
    <col min="7" max="7" width="40" customWidth="1"/>
    <col min="14" max="14" width="9" hidden="1" customWidth="1"/>
    <col min="15" max="15" width="9" hidden="1" customWidth="1"/>
    <col min="16" max="16" width="9" hidden="1" customWidth="1"/>
    <col min="17" max="17" width="9" hidden="1" customWidth="1"/>
  </cols>
  <sheetData>
    <row r="1" ht="30" customHeight="1" spans="1:15" x14ac:dyDescent="0.25">
      <c r="A1" s="14">
        <f>IF($O$1="FILL","✅  FILL OUT THIS SHEET — Workout 9",IF($O$1="SKIP","⛔  NOT NEEDED — leave this sheet blank","Start on the Start sheet: answer question 1 first"))</f>
      </c>
      <c r="B1" s="14"/>
      <c r="C1" s="14"/>
      <c r="D1" s="14"/>
      <c r="E1" s="14"/>
      <c r="F1" s="14"/>
      <c r="G1" s="14"/>
      <c r="O1">
        <f>IF(Start!$C$4="Single Workout","SKIP",IF(Start!$C$4="Program",IF(9&lt;=N(Start!$C$9),"FILL","SKIP"),""))</f>
      </c>
    </row>
    <row r="2" spans="15:15" x14ac:dyDescent="0.25">
      <c r="O2">
        <f>IF($O$1="FILL",COUNTIF($G$3:$G$214,"⚠*"),0)</f>
      </c>
    </row>
    <row r="3" ht="26" customHeight="1" spans="2:7" x14ac:dyDescent="0.25">
      <c r="B3" s="15" t="s">
        <v>42</v>
      </c>
      <c r="C3" s="16"/>
      <c r="D3" s="16"/>
      <c r="E3" s="16"/>
      <c r="F3" s="16"/>
      <c r="G3" s="17">
        <f>IFERROR(IF($O$1&lt;&gt;"FILL","",IF($C$3="","⚠ Name this workout",IF($C$3="REST","⚠ REST is reserved for rest days — pick another name",IF(COUNTIF(Lists!$A$3:$A$14,$C$3)&gt;1,"⚠ Another workout has this name",IF(COUNTA($C$7,$C$8,$C$21,$C$22,$C$35,$C$36,$C$49,$C$50,$C$63,$C$64,$C$77,$C$78,$C$91,$C$92,$C$105,$C$106,$C$119,$C$120,$C$133,$C$134,$C$147,$C$148,$C$161,$C$162,$C$175,$C$176,$C$189,$C$190,$C$203,$C$204)=0,"⚠ Add at least one exercise","✓ Looks good"))))),"⚠ Check this row")</f>
      </c>
    </row>
    <row r="4" ht="30" customHeight="1" spans="2:6" x14ac:dyDescent="0.25">
      <c r="B4" s="15" t="s">
        <v>43</v>
      </c>
      <c r="C4" s="5"/>
      <c r="D4" s="5"/>
      <c r="E4" s="5"/>
      <c r="F4" s="5"/>
    </row>
    <row r="6" spans="2:6" x14ac:dyDescent="0.25">
      <c r="B6" s="18" t="s">
        <v>44</v>
      </c>
      <c r="C6" s="19"/>
      <c r="D6" s="19"/>
      <c r="E6" s="5"/>
      <c r="F6" s="5"/>
    </row>
    <row r="7" ht="24" customHeight="1" spans="2:16" x14ac:dyDescent="0.25">
      <c r="B7" s="20" t="s">
        <v>45</v>
      </c>
      <c r="C7" s="21"/>
      <c r="D7" s="21"/>
      <c r="E7" s="21"/>
      <c r="F7" s="21"/>
      <c r="G7" s="4">
        <f>IFERROR(IF(AND($C$7="",$C$8=""),IF(COUNTA($C$6:$F$6,$E$9,$C$11:$F$18)+COUNTA($E$8,$C$9)&gt;0,"⚠ Pick an exercise for this card",""),IF(AND($C$7&lt;&gt;"",$C$8&lt;&gt;""),"⚠ Use the library OR a custom exercise, not both",IF(AND($C$8&lt;&gt;"",$E$8=""),"⚠ Pick a muscle group for the custom exercise",IF(COUNT($E$11:$E$18)=0,"⚠ Enter Goal Reps for at least one set",IF(SUM($Q$11:$Q$18)&gt;0,"⚠ A set is missing Goal Reps",IF(IF($C$9="",1=0,COUNTIF($P$7:$P$214,$C$9)&lt;2),"⚠ Superset "&amp;$C$9&amp;" needs 2+ exercises",IF($C$7&lt;&gt;"",IFERROR("✓ "&amp;INDEX('Exercise Library'!$C$2:$C$319,MATCH($C$7,'Exercise Library'!$B$2:$B$319,0))&amp;IF(INDEX('Exercise Library'!$D$2:$D$319,MATCH($C$7,'Exercise Library'!$B$2:$B$319,0))="Yes"," · demo video","")&amp;" · "&amp;COUNT($E$11:$E$18)&amp;" sets","⚠ Not in the library — use Custom"),"✓ Custom ("&amp;$E$8&amp;") · "&amp;COUNT($E$11:$E$18)&amp;" sets"))))))),"⚠ Check this row")</f>
      </c>
      <c r="P7">
        <f>IF(OR($C$7&lt;&gt;"",$C$8&lt;&gt;""),$C$9,"")</f>
      </c>
    </row>
    <row r="8" spans="2:6" x14ac:dyDescent="0.25">
      <c r="B8" s="18" t="s">
        <v>46</v>
      </c>
      <c r="C8" s="5"/>
      <c r="D8" s="5"/>
      <c r="E8" s="5"/>
      <c r="F8" s="18" t="s">
        <v>47</v>
      </c>
    </row>
    <row r="9" ht="22" customHeight="1" spans="2:6" x14ac:dyDescent="0.25">
      <c r="B9" s="18" t="s">
        <v>48</v>
      </c>
      <c r="C9" s="22"/>
      <c r="D9" s="18" t="s">
        <v>49</v>
      </c>
      <c r="E9" s="5"/>
      <c r="F9" s="5"/>
    </row>
    <row r="10" spans="2:6" x14ac:dyDescent="0.25">
      <c r="B10" s="23" t="s">
        <v>50</v>
      </c>
      <c r="C10" s="23" t="s">
        <v>51</v>
      </c>
      <c r="D10" s="23" t="s">
        <v>52</v>
      </c>
      <c r="E10" s="23" t="s">
        <v>53</v>
      </c>
      <c r="F10" s="23" t="s">
        <v>54</v>
      </c>
    </row>
    <row r="11" spans="2:17" x14ac:dyDescent="0.25">
      <c r="B11" s="24">
        <v>1</v>
      </c>
      <c r="C11" s="22"/>
      <c r="D11" s="22"/>
      <c r="E11" s="22"/>
      <c r="F11" s="22"/>
      <c r="Q11">
        <f>IF(AND($E11="",COUNTA($C11:$D11,$F11)&gt;0),1,0)</f>
      </c>
    </row>
    <row r="12" spans="2:17" x14ac:dyDescent="0.25">
      <c r="B12" s="24">
        <v>2</v>
      </c>
      <c r="C12" s="22"/>
      <c r="D12" s="22"/>
      <c r="E12" s="22"/>
      <c r="F12" s="22"/>
      <c r="Q12">
        <f>IF(AND($E12="",COUNTA($C12:$D12,$F12)&gt;0),1,0)</f>
      </c>
    </row>
    <row r="13" spans="2:17" x14ac:dyDescent="0.25">
      <c r="B13" s="24">
        <v>3</v>
      </c>
      <c r="C13" s="22"/>
      <c r="D13" s="22"/>
      <c r="E13" s="22"/>
      <c r="F13" s="22"/>
      <c r="Q13">
        <f>IF(AND($E13="",COUNTA($C13:$D13,$F13)&gt;0),1,0)</f>
      </c>
    </row>
    <row r="14" spans="2:17" x14ac:dyDescent="0.25">
      <c r="B14" s="24">
        <v>4</v>
      </c>
      <c r="C14" s="22"/>
      <c r="D14" s="22"/>
      <c r="E14" s="22"/>
      <c r="F14" s="22"/>
      <c r="Q14">
        <f>IF(AND($E14="",COUNTA($C14:$D14,$F14)&gt;0),1,0)</f>
      </c>
    </row>
    <row r="15" spans="2:17" x14ac:dyDescent="0.25">
      <c r="B15" s="24">
        <v>5</v>
      </c>
      <c r="C15" s="22"/>
      <c r="D15" s="22"/>
      <c r="E15" s="22"/>
      <c r="F15" s="22"/>
      <c r="Q15">
        <f>IF(AND($E15="",COUNTA($C15:$D15,$F15)&gt;0),1,0)</f>
      </c>
    </row>
    <row r="16" spans="2:17" x14ac:dyDescent="0.25">
      <c r="B16" s="24">
        <v>6</v>
      </c>
      <c r="C16" s="22"/>
      <c r="D16" s="22"/>
      <c r="E16" s="22"/>
      <c r="F16" s="22"/>
      <c r="Q16">
        <f>IF(AND($E16="",COUNTA($C16:$D16,$F16)&gt;0),1,0)</f>
      </c>
    </row>
    <row r="17" spans="2:17" x14ac:dyDescent="0.25">
      <c r="B17" s="24">
        <v>7</v>
      </c>
      <c r="C17" s="22"/>
      <c r="D17" s="22"/>
      <c r="E17" s="22"/>
      <c r="F17" s="22"/>
      <c r="Q17">
        <f>IF(AND($E17="",COUNTA($C17:$D17,$F17)&gt;0),1,0)</f>
      </c>
    </row>
    <row r="18" spans="2:17" x14ac:dyDescent="0.25">
      <c r="B18" s="24">
        <v>8</v>
      </c>
      <c r="C18" s="22"/>
      <c r="D18" s="22"/>
      <c r="E18" s="22"/>
      <c r="F18" s="22"/>
      <c r="Q18">
        <f>IF(AND($E18="",COUNTA($C18:$D18,$F18)&gt;0),1,0)</f>
      </c>
    </row>
    <row r="20" spans="2:6" x14ac:dyDescent="0.25">
      <c r="B20" s="18" t="s">
        <v>44</v>
      </c>
      <c r="C20" s="19"/>
      <c r="D20" s="19"/>
      <c r="E20" s="5"/>
      <c r="F20" s="5"/>
    </row>
    <row r="21" ht="24" customHeight="1" spans="2:16" x14ac:dyDescent="0.25">
      <c r="B21" s="20" t="s">
        <v>55</v>
      </c>
      <c r="C21" s="21"/>
      <c r="D21" s="21"/>
      <c r="E21" s="21"/>
      <c r="F21" s="21"/>
      <c r="G21" s="4">
        <f>IFERROR(IF(AND($C$21="",$C$22=""),IF(COUNTA($C$20:$F$20,$E$23,$C$25:$F$32)+COUNTA($E$22,$C$23)&gt;0,"⚠ Pick an exercise for this card",""),IF(AND($C$21&lt;&gt;"",$C$22&lt;&gt;""),"⚠ Use the library OR a custom exercise, not both",IF(AND($C$22&lt;&gt;"",$E$22=""),"⚠ Pick a muscle group for the custom exercise",IF(COUNT($E$25:$E$32)=0,"⚠ Enter Goal Reps for at least one set",IF(SUM($Q$25:$Q$32)&gt;0,"⚠ A set is missing Goal Reps",IF(IF($C$23="",1=0,COUNTIF($P$7:$P$214,$C$23)&lt;2),"⚠ Superset "&amp;$C$23&amp;" needs 2+ exercises",IF($C$21&lt;&gt;"",IFERROR("✓ "&amp;INDEX('Exercise Library'!$C$2:$C$319,MATCH($C$21,'Exercise Library'!$B$2:$B$319,0))&amp;IF(INDEX('Exercise Library'!$D$2:$D$319,MATCH($C$21,'Exercise Library'!$B$2:$B$319,0))="Yes"," · demo video","")&amp;" · "&amp;COUNT($E$25:$E$32)&amp;" sets","⚠ Not in the library — use Custom"),"✓ Custom ("&amp;$E$22&amp;") · "&amp;COUNT($E$25:$E$32)&amp;" sets"))))))),"⚠ Check this row")</f>
      </c>
      <c r="P21">
        <f>IF(OR($C$21&lt;&gt;"",$C$22&lt;&gt;""),$C$23,"")</f>
      </c>
    </row>
    <row r="22" spans="2:6" x14ac:dyDescent="0.25">
      <c r="B22" s="18" t="s">
        <v>46</v>
      </c>
      <c r="C22" s="5"/>
      <c r="D22" s="5"/>
      <c r="E22" s="5"/>
      <c r="F22" s="18" t="s">
        <v>47</v>
      </c>
    </row>
    <row r="23" ht="22" customHeight="1" spans="2:6" x14ac:dyDescent="0.25">
      <c r="B23" s="18" t="s">
        <v>48</v>
      </c>
      <c r="C23" s="22"/>
      <c r="D23" s="18" t="s">
        <v>49</v>
      </c>
      <c r="E23" s="5"/>
      <c r="F23" s="5"/>
    </row>
    <row r="24" spans="2:6" x14ac:dyDescent="0.25">
      <c r="B24" s="23" t="s">
        <v>50</v>
      </c>
      <c r="C24" s="23" t="s">
        <v>51</v>
      </c>
      <c r="D24" s="23" t="s">
        <v>52</v>
      </c>
      <c r="E24" s="23" t="s">
        <v>53</v>
      </c>
      <c r="F24" s="23" t="s">
        <v>54</v>
      </c>
    </row>
    <row r="25" spans="2:17" x14ac:dyDescent="0.25">
      <c r="B25" s="24">
        <v>1</v>
      </c>
      <c r="C25" s="22"/>
      <c r="D25" s="22"/>
      <c r="E25" s="22"/>
      <c r="F25" s="22"/>
      <c r="Q25">
        <f>IF(AND($E25="",COUNTA($C25:$D25,$F25)&gt;0),1,0)</f>
      </c>
    </row>
    <row r="26" spans="2:17" x14ac:dyDescent="0.25">
      <c r="B26" s="24">
        <v>2</v>
      </c>
      <c r="C26" s="22"/>
      <c r="D26" s="22"/>
      <c r="E26" s="22"/>
      <c r="F26" s="22"/>
      <c r="Q26">
        <f>IF(AND($E26="",COUNTA($C26:$D26,$F26)&gt;0),1,0)</f>
      </c>
    </row>
    <row r="27" spans="2:17" x14ac:dyDescent="0.25">
      <c r="B27" s="24">
        <v>3</v>
      </c>
      <c r="C27" s="22"/>
      <c r="D27" s="22"/>
      <c r="E27" s="22"/>
      <c r="F27" s="22"/>
      <c r="Q27">
        <f>IF(AND($E27="",COUNTA($C27:$D27,$F27)&gt;0),1,0)</f>
      </c>
    </row>
    <row r="28" spans="2:17" x14ac:dyDescent="0.25">
      <c r="B28" s="24">
        <v>4</v>
      </c>
      <c r="C28" s="22"/>
      <c r="D28" s="22"/>
      <c r="E28" s="22"/>
      <c r="F28" s="22"/>
      <c r="Q28">
        <f>IF(AND($E28="",COUNTA($C28:$D28,$F28)&gt;0),1,0)</f>
      </c>
    </row>
    <row r="29" spans="2:17" x14ac:dyDescent="0.25">
      <c r="B29" s="24">
        <v>5</v>
      </c>
      <c r="C29" s="22"/>
      <c r="D29" s="22"/>
      <c r="E29" s="22"/>
      <c r="F29" s="22"/>
      <c r="Q29">
        <f>IF(AND($E29="",COUNTA($C29:$D29,$F29)&gt;0),1,0)</f>
      </c>
    </row>
    <row r="30" spans="2:17" x14ac:dyDescent="0.25">
      <c r="B30" s="24">
        <v>6</v>
      </c>
      <c r="C30" s="22"/>
      <c r="D30" s="22"/>
      <c r="E30" s="22"/>
      <c r="F30" s="22"/>
      <c r="Q30">
        <f>IF(AND($E30="",COUNTA($C30:$D30,$F30)&gt;0),1,0)</f>
      </c>
    </row>
    <row r="31" spans="2:17" x14ac:dyDescent="0.25">
      <c r="B31" s="24">
        <v>7</v>
      </c>
      <c r="C31" s="22"/>
      <c r="D31" s="22"/>
      <c r="E31" s="22"/>
      <c r="F31" s="22"/>
      <c r="Q31">
        <f>IF(AND($E31="",COUNTA($C31:$D31,$F31)&gt;0),1,0)</f>
      </c>
    </row>
    <row r="32" spans="2:17" x14ac:dyDescent="0.25">
      <c r="B32" s="24">
        <v>8</v>
      </c>
      <c r="C32" s="22"/>
      <c r="D32" s="22"/>
      <c r="E32" s="22"/>
      <c r="F32" s="22"/>
      <c r="Q32">
        <f>IF(AND($E32="",COUNTA($C32:$D32,$F32)&gt;0),1,0)</f>
      </c>
    </row>
    <row r="34" spans="2:6" x14ac:dyDescent="0.25">
      <c r="B34" s="18" t="s">
        <v>44</v>
      </c>
      <c r="C34" s="19"/>
      <c r="D34" s="19"/>
      <c r="E34" s="5"/>
      <c r="F34" s="5"/>
    </row>
    <row r="35" ht="24" customHeight="1" spans="2:16" x14ac:dyDescent="0.25">
      <c r="B35" s="20" t="s">
        <v>56</v>
      </c>
      <c r="C35" s="21"/>
      <c r="D35" s="21"/>
      <c r="E35" s="21"/>
      <c r="F35" s="21"/>
      <c r="G35" s="4">
        <f>IFERROR(IF(AND($C$35="",$C$36=""),IF(COUNTA($C$34:$F$34,$E$37,$C$39:$F$46)+COUNTA($E$36,$C$37)&gt;0,"⚠ Pick an exercise for this card",""),IF(AND($C$35&lt;&gt;"",$C$36&lt;&gt;""),"⚠ Use the library OR a custom exercise, not both",IF(AND($C$36&lt;&gt;"",$E$36=""),"⚠ Pick a muscle group for the custom exercise",IF(COUNT($E$39:$E$46)=0,"⚠ Enter Goal Reps for at least one set",IF(SUM($Q$39:$Q$46)&gt;0,"⚠ A set is missing Goal Reps",IF(IF($C$37="",1=0,COUNTIF($P$7:$P$214,$C$37)&lt;2),"⚠ Superset "&amp;$C$37&amp;" needs 2+ exercises",IF($C$35&lt;&gt;"",IFERROR("✓ "&amp;INDEX('Exercise Library'!$C$2:$C$319,MATCH($C$35,'Exercise Library'!$B$2:$B$319,0))&amp;IF(INDEX('Exercise Library'!$D$2:$D$319,MATCH($C$35,'Exercise Library'!$B$2:$B$319,0))="Yes"," · demo video","")&amp;" · "&amp;COUNT($E$39:$E$46)&amp;" sets","⚠ Not in the library — use Custom"),"✓ Custom ("&amp;$E$36&amp;") · "&amp;COUNT($E$39:$E$46)&amp;" sets"))))))),"⚠ Check this row")</f>
      </c>
      <c r="P35">
        <f>IF(OR($C$35&lt;&gt;"",$C$36&lt;&gt;""),$C$37,"")</f>
      </c>
    </row>
    <row r="36" spans="2:6" x14ac:dyDescent="0.25">
      <c r="B36" s="18" t="s">
        <v>46</v>
      </c>
      <c r="C36" s="5"/>
      <c r="D36" s="5"/>
      <c r="E36" s="5"/>
      <c r="F36" s="18" t="s">
        <v>47</v>
      </c>
    </row>
    <row r="37" ht="22" customHeight="1" spans="2:6" x14ac:dyDescent="0.25">
      <c r="B37" s="18" t="s">
        <v>48</v>
      </c>
      <c r="C37" s="22"/>
      <c r="D37" s="18" t="s">
        <v>49</v>
      </c>
      <c r="E37" s="5"/>
      <c r="F37" s="5"/>
    </row>
    <row r="38" spans="2:6" x14ac:dyDescent="0.25">
      <c r="B38" s="23" t="s">
        <v>50</v>
      </c>
      <c r="C38" s="23" t="s">
        <v>51</v>
      </c>
      <c r="D38" s="23" t="s">
        <v>52</v>
      </c>
      <c r="E38" s="23" t="s">
        <v>53</v>
      </c>
      <c r="F38" s="23" t="s">
        <v>54</v>
      </c>
    </row>
    <row r="39" spans="2:17" x14ac:dyDescent="0.25">
      <c r="B39" s="24">
        <v>1</v>
      </c>
      <c r="C39" s="22"/>
      <c r="D39" s="22"/>
      <c r="E39" s="22"/>
      <c r="F39" s="22"/>
      <c r="Q39">
        <f>IF(AND($E39="",COUNTA($C39:$D39,$F39)&gt;0),1,0)</f>
      </c>
    </row>
    <row r="40" spans="2:17" x14ac:dyDescent="0.25">
      <c r="B40" s="24">
        <v>2</v>
      </c>
      <c r="C40" s="22"/>
      <c r="D40" s="22"/>
      <c r="E40" s="22"/>
      <c r="F40" s="22"/>
      <c r="Q40">
        <f>IF(AND($E40="",COUNTA($C40:$D40,$F40)&gt;0),1,0)</f>
      </c>
    </row>
    <row r="41" spans="2:17" x14ac:dyDescent="0.25">
      <c r="B41" s="24">
        <v>3</v>
      </c>
      <c r="C41" s="22"/>
      <c r="D41" s="22"/>
      <c r="E41" s="22"/>
      <c r="F41" s="22"/>
      <c r="Q41">
        <f>IF(AND($E41="",COUNTA($C41:$D41,$F41)&gt;0),1,0)</f>
      </c>
    </row>
    <row r="42" spans="2:17" x14ac:dyDescent="0.25">
      <c r="B42" s="24">
        <v>4</v>
      </c>
      <c r="C42" s="22"/>
      <c r="D42" s="22"/>
      <c r="E42" s="22"/>
      <c r="F42" s="22"/>
      <c r="Q42">
        <f>IF(AND($E42="",COUNTA($C42:$D42,$F42)&gt;0),1,0)</f>
      </c>
    </row>
    <row r="43" spans="2:17" x14ac:dyDescent="0.25">
      <c r="B43" s="24">
        <v>5</v>
      </c>
      <c r="C43" s="22"/>
      <c r="D43" s="22"/>
      <c r="E43" s="22"/>
      <c r="F43" s="22"/>
      <c r="Q43">
        <f>IF(AND($E43="",COUNTA($C43:$D43,$F43)&gt;0),1,0)</f>
      </c>
    </row>
    <row r="44" spans="2:17" x14ac:dyDescent="0.25">
      <c r="B44" s="24">
        <v>6</v>
      </c>
      <c r="C44" s="22"/>
      <c r="D44" s="22"/>
      <c r="E44" s="22"/>
      <c r="F44" s="22"/>
      <c r="Q44">
        <f>IF(AND($E44="",COUNTA($C44:$D44,$F44)&gt;0),1,0)</f>
      </c>
    </row>
    <row r="45" spans="2:17" x14ac:dyDescent="0.25">
      <c r="B45" s="24">
        <v>7</v>
      </c>
      <c r="C45" s="22"/>
      <c r="D45" s="22"/>
      <c r="E45" s="22"/>
      <c r="F45" s="22"/>
      <c r="Q45">
        <f>IF(AND($E45="",COUNTA($C45:$D45,$F45)&gt;0),1,0)</f>
      </c>
    </row>
    <row r="46" spans="2:17" x14ac:dyDescent="0.25">
      <c r="B46" s="24">
        <v>8</v>
      </c>
      <c r="C46" s="22"/>
      <c r="D46" s="22"/>
      <c r="E46" s="22"/>
      <c r="F46" s="22"/>
      <c r="Q46">
        <f>IF(AND($E46="",COUNTA($C46:$D46,$F46)&gt;0),1,0)</f>
      </c>
    </row>
    <row r="48" spans="2:6" x14ac:dyDescent="0.25">
      <c r="B48" s="18" t="s">
        <v>44</v>
      </c>
      <c r="C48" s="19"/>
      <c r="D48" s="19"/>
      <c r="E48" s="5"/>
      <c r="F48" s="5"/>
    </row>
    <row r="49" ht="24" customHeight="1" spans="2:16" x14ac:dyDescent="0.25">
      <c r="B49" s="20" t="s">
        <v>57</v>
      </c>
      <c r="C49" s="21"/>
      <c r="D49" s="21"/>
      <c r="E49" s="21"/>
      <c r="F49" s="21"/>
      <c r="G49" s="4">
        <f>IFERROR(IF(AND($C$49="",$C$50=""),IF(COUNTA($C$48:$F$48,$E$51,$C$53:$F$60)+COUNTA($E$50,$C$51)&gt;0,"⚠ Pick an exercise for this card",""),IF(AND($C$49&lt;&gt;"",$C$50&lt;&gt;""),"⚠ Use the library OR a custom exercise, not both",IF(AND($C$50&lt;&gt;"",$E$50=""),"⚠ Pick a muscle group for the custom exercise",IF(COUNT($E$53:$E$60)=0,"⚠ Enter Goal Reps for at least one set",IF(SUM($Q$53:$Q$60)&gt;0,"⚠ A set is missing Goal Reps",IF(IF($C$51="",1=0,COUNTIF($P$7:$P$214,$C$51)&lt;2),"⚠ Superset "&amp;$C$51&amp;" needs 2+ exercises",IF($C$49&lt;&gt;"",IFERROR("✓ "&amp;INDEX('Exercise Library'!$C$2:$C$319,MATCH($C$49,'Exercise Library'!$B$2:$B$319,0))&amp;IF(INDEX('Exercise Library'!$D$2:$D$319,MATCH($C$49,'Exercise Library'!$B$2:$B$319,0))="Yes"," · demo video","")&amp;" · "&amp;COUNT($E$53:$E$60)&amp;" sets","⚠ Not in the library — use Custom"),"✓ Custom ("&amp;$E$50&amp;") · "&amp;COUNT($E$53:$E$60)&amp;" sets"))))))),"⚠ Check this row")</f>
      </c>
      <c r="P49">
        <f>IF(OR($C$49&lt;&gt;"",$C$50&lt;&gt;""),$C$51,"")</f>
      </c>
    </row>
    <row r="50" spans="2:6" x14ac:dyDescent="0.25">
      <c r="B50" s="18" t="s">
        <v>46</v>
      </c>
      <c r="C50" s="5"/>
      <c r="D50" s="5"/>
      <c r="E50" s="5"/>
      <c r="F50" s="18" t="s">
        <v>47</v>
      </c>
    </row>
    <row r="51" ht="22" customHeight="1" spans="2:6" x14ac:dyDescent="0.25">
      <c r="B51" s="18" t="s">
        <v>48</v>
      </c>
      <c r="C51" s="22"/>
      <c r="D51" s="18" t="s">
        <v>49</v>
      </c>
      <c r="E51" s="5"/>
      <c r="F51" s="5"/>
    </row>
    <row r="52" spans="2:6" x14ac:dyDescent="0.25">
      <c r="B52" s="23" t="s">
        <v>50</v>
      </c>
      <c r="C52" s="23" t="s">
        <v>51</v>
      </c>
      <c r="D52" s="23" t="s">
        <v>52</v>
      </c>
      <c r="E52" s="23" t="s">
        <v>53</v>
      </c>
      <c r="F52" s="23" t="s">
        <v>54</v>
      </c>
    </row>
    <row r="53" spans="2:17" x14ac:dyDescent="0.25">
      <c r="B53" s="24">
        <v>1</v>
      </c>
      <c r="C53" s="22"/>
      <c r="D53" s="22"/>
      <c r="E53" s="22"/>
      <c r="F53" s="22"/>
      <c r="Q53">
        <f>IF(AND($E53="",COUNTA($C53:$D53,$F53)&gt;0),1,0)</f>
      </c>
    </row>
    <row r="54" spans="2:17" x14ac:dyDescent="0.25">
      <c r="B54" s="24">
        <v>2</v>
      </c>
      <c r="C54" s="22"/>
      <c r="D54" s="22"/>
      <c r="E54" s="22"/>
      <c r="F54" s="22"/>
      <c r="Q54">
        <f>IF(AND($E54="",COUNTA($C54:$D54,$F54)&gt;0),1,0)</f>
      </c>
    </row>
    <row r="55" spans="2:17" x14ac:dyDescent="0.25">
      <c r="B55" s="24">
        <v>3</v>
      </c>
      <c r="C55" s="22"/>
      <c r="D55" s="22"/>
      <c r="E55" s="22"/>
      <c r="F55" s="22"/>
      <c r="Q55">
        <f>IF(AND($E55="",COUNTA($C55:$D55,$F55)&gt;0),1,0)</f>
      </c>
    </row>
    <row r="56" spans="2:17" x14ac:dyDescent="0.25">
      <c r="B56" s="24">
        <v>4</v>
      </c>
      <c r="C56" s="22"/>
      <c r="D56" s="22"/>
      <c r="E56" s="22"/>
      <c r="F56" s="22"/>
      <c r="Q56">
        <f>IF(AND($E56="",COUNTA($C56:$D56,$F56)&gt;0),1,0)</f>
      </c>
    </row>
    <row r="57" spans="2:17" x14ac:dyDescent="0.25">
      <c r="B57" s="24">
        <v>5</v>
      </c>
      <c r="C57" s="22"/>
      <c r="D57" s="22"/>
      <c r="E57" s="22"/>
      <c r="F57" s="22"/>
      <c r="Q57">
        <f>IF(AND($E57="",COUNTA($C57:$D57,$F57)&gt;0),1,0)</f>
      </c>
    </row>
    <row r="58" spans="2:17" x14ac:dyDescent="0.25">
      <c r="B58" s="24">
        <v>6</v>
      </c>
      <c r="C58" s="22"/>
      <c r="D58" s="22"/>
      <c r="E58" s="22"/>
      <c r="F58" s="22"/>
      <c r="Q58">
        <f>IF(AND($E58="",COUNTA($C58:$D58,$F58)&gt;0),1,0)</f>
      </c>
    </row>
    <row r="59" spans="2:17" x14ac:dyDescent="0.25">
      <c r="B59" s="24">
        <v>7</v>
      </c>
      <c r="C59" s="22"/>
      <c r="D59" s="22"/>
      <c r="E59" s="22"/>
      <c r="F59" s="22"/>
      <c r="Q59">
        <f>IF(AND($E59="",COUNTA($C59:$D59,$F59)&gt;0),1,0)</f>
      </c>
    </row>
    <row r="60" spans="2:17" x14ac:dyDescent="0.25">
      <c r="B60" s="24">
        <v>8</v>
      </c>
      <c r="C60" s="22"/>
      <c r="D60" s="22"/>
      <c r="E60" s="22"/>
      <c r="F60" s="22"/>
      <c r="Q60">
        <f>IF(AND($E60="",COUNTA($C60:$D60,$F60)&gt;0),1,0)</f>
      </c>
    </row>
    <row r="62" spans="2:6" x14ac:dyDescent="0.25">
      <c r="B62" s="18" t="s">
        <v>44</v>
      </c>
      <c r="C62" s="19"/>
      <c r="D62" s="19"/>
      <c r="E62" s="5"/>
      <c r="F62" s="5"/>
    </row>
    <row r="63" ht="24" customHeight="1" spans="2:16" x14ac:dyDescent="0.25">
      <c r="B63" s="20" t="s">
        <v>58</v>
      </c>
      <c r="C63" s="21"/>
      <c r="D63" s="21"/>
      <c r="E63" s="21"/>
      <c r="F63" s="21"/>
      <c r="G63" s="4">
        <f>IFERROR(IF(AND($C$63="",$C$64=""),IF(COUNTA($C$62:$F$62,$E$65,$C$67:$F$74)+COUNTA($E$64,$C$65)&gt;0,"⚠ Pick an exercise for this card",""),IF(AND($C$63&lt;&gt;"",$C$64&lt;&gt;""),"⚠ Use the library OR a custom exercise, not both",IF(AND($C$64&lt;&gt;"",$E$64=""),"⚠ Pick a muscle group for the custom exercise",IF(COUNT($E$67:$E$74)=0,"⚠ Enter Goal Reps for at least one set",IF(SUM($Q$67:$Q$74)&gt;0,"⚠ A set is missing Goal Reps",IF(IF($C$65="",1=0,COUNTIF($P$7:$P$214,$C$65)&lt;2),"⚠ Superset "&amp;$C$65&amp;" needs 2+ exercises",IF($C$63&lt;&gt;"",IFERROR("✓ "&amp;INDEX('Exercise Library'!$C$2:$C$319,MATCH($C$63,'Exercise Library'!$B$2:$B$319,0))&amp;IF(INDEX('Exercise Library'!$D$2:$D$319,MATCH($C$63,'Exercise Library'!$B$2:$B$319,0))="Yes"," · demo video","")&amp;" · "&amp;COUNT($E$67:$E$74)&amp;" sets","⚠ Not in the library — use Custom"),"✓ Custom ("&amp;$E$64&amp;") · "&amp;COUNT($E$67:$E$74)&amp;" sets"))))))),"⚠ Check this row")</f>
      </c>
      <c r="P63">
        <f>IF(OR($C$63&lt;&gt;"",$C$64&lt;&gt;""),$C$65,"")</f>
      </c>
    </row>
    <row r="64" spans="2:6" x14ac:dyDescent="0.25">
      <c r="B64" s="18" t="s">
        <v>46</v>
      </c>
      <c r="C64" s="5"/>
      <c r="D64" s="5"/>
      <c r="E64" s="5"/>
      <c r="F64" s="18" t="s">
        <v>47</v>
      </c>
    </row>
    <row r="65" ht="22" customHeight="1" spans="2:6" x14ac:dyDescent="0.25">
      <c r="B65" s="18" t="s">
        <v>48</v>
      </c>
      <c r="C65" s="22"/>
      <c r="D65" s="18" t="s">
        <v>49</v>
      </c>
      <c r="E65" s="5"/>
      <c r="F65" s="5"/>
    </row>
    <row r="66" spans="2:6" x14ac:dyDescent="0.25">
      <c r="B66" s="23" t="s">
        <v>50</v>
      </c>
      <c r="C66" s="23" t="s">
        <v>51</v>
      </c>
      <c r="D66" s="23" t="s">
        <v>52</v>
      </c>
      <c r="E66" s="23" t="s">
        <v>53</v>
      </c>
      <c r="F66" s="23" t="s">
        <v>54</v>
      </c>
    </row>
    <row r="67" spans="2:17" x14ac:dyDescent="0.25">
      <c r="B67" s="24">
        <v>1</v>
      </c>
      <c r="C67" s="22"/>
      <c r="D67" s="22"/>
      <c r="E67" s="22"/>
      <c r="F67" s="22"/>
      <c r="Q67">
        <f>IF(AND($E67="",COUNTA($C67:$D67,$F67)&gt;0),1,0)</f>
      </c>
    </row>
    <row r="68" spans="2:17" x14ac:dyDescent="0.25">
      <c r="B68" s="24">
        <v>2</v>
      </c>
      <c r="C68" s="22"/>
      <c r="D68" s="22"/>
      <c r="E68" s="22"/>
      <c r="F68" s="22"/>
      <c r="Q68">
        <f>IF(AND($E68="",COUNTA($C68:$D68,$F68)&gt;0),1,0)</f>
      </c>
    </row>
    <row r="69" spans="2:17" x14ac:dyDescent="0.25">
      <c r="B69" s="24">
        <v>3</v>
      </c>
      <c r="C69" s="22"/>
      <c r="D69" s="22"/>
      <c r="E69" s="22"/>
      <c r="F69" s="22"/>
      <c r="Q69">
        <f>IF(AND($E69="",COUNTA($C69:$D69,$F69)&gt;0),1,0)</f>
      </c>
    </row>
    <row r="70" spans="2:17" x14ac:dyDescent="0.25">
      <c r="B70" s="24">
        <v>4</v>
      </c>
      <c r="C70" s="22"/>
      <c r="D70" s="22"/>
      <c r="E70" s="22"/>
      <c r="F70" s="22"/>
      <c r="Q70">
        <f>IF(AND($E70="",COUNTA($C70:$D70,$F70)&gt;0),1,0)</f>
      </c>
    </row>
    <row r="71" spans="2:17" x14ac:dyDescent="0.25">
      <c r="B71" s="24">
        <v>5</v>
      </c>
      <c r="C71" s="22"/>
      <c r="D71" s="22"/>
      <c r="E71" s="22"/>
      <c r="F71" s="22"/>
      <c r="Q71">
        <f>IF(AND($E71="",COUNTA($C71:$D71,$F71)&gt;0),1,0)</f>
      </c>
    </row>
    <row r="72" spans="2:17" x14ac:dyDescent="0.25">
      <c r="B72" s="24">
        <v>6</v>
      </c>
      <c r="C72" s="22"/>
      <c r="D72" s="22"/>
      <c r="E72" s="22"/>
      <c r="F72" s="22"/>
      <c r="Q72">
        <f>IF(AND($E72="",COUNTA($C72:$D72,$F72)&gt;0),1,0)</f>
      </c>
    </row>
    <row r="73" spans="2:17" x14ac:dyDescent="0.25">
      <c r="B73" s="24">
        <v>7</v>
      </c>
      <c r="C73" s="22"/>
      <c r="D73" s="22"/>
      <c r="E73" s="22"/>
      <c r="F73" s="22"/>
      <c r="Q73">
        <f>IF(AND($E73="",COUNTA($C73:$D73,$F73)&gt;0),1,0)</f>
      </c>
    </row>
    <row r="74" spans="2:17" x14ac:dyDescent="0.25">
      <c r="B74" s="24">
        <v>8</v>
      </c>
      <c r="C74" s="22"/>
      <c r="D74" s="22"/>
      <c r="E74" s="22"/>
      <c r="F74" s="22"/>
      <c r="Q74">
        <f>IF(AND($E74="",COUNTA($C74:$D74,$F74)&gt;0),1,0)</f>
      </c>
    </row>
    <row r="76" spans="2:6" x14ac:dyDescent="0.25">
      <c r="B76" s="18" t="s">
        <v>44</v>
      </c>
      <c r="C76" s="19"/>
      <c r="D76" s="19"/>
      <c r="E76" s="5"/>
      <c r="F76" s="5"/>
    </row>
    <row r="77" ht="24" customHeight="1" spans="2:16" x14ac:dyDescent="0.25">
      <c r="B77" s="20" t="s">
        <v>59</v>
      </c>
      <c r="C77" s="21"/>
      <c r="D77" s="21"/>
      <c r="E77" s="21"/>
      <c r="F77" s="21"/>
      <c r="G77" s="4">
        <f>IFERROR(IF(AND($C$77="",$C$78=""),IF(COUNTA($C$76:$F$76,$E$79,$C$81:$F$88)+COUNTA($E$78,$C$79)&gt;0,"⚠ Pick an exercise for this card",""),IF(AND($C$77&lt;&gt;"",$C$78&lt;&gt;""),"⚠ Use the library OR a custom exercise, not both",IF(AND($C$78&lt;&gt;"",$E$78=""),"⚠ Pick a muscle group for the custom exercise",IF(COUNT($E$81:$E$88)=0,"⚠ Enter Goal Reps for at least one set",IF(SUM($Q$81:$Q$88)&gt;0,"⚠ A set is missing Goal Reps",IF(IF($C$79="",1=0,COUNTIF($P$7:$P$214,$C$79)&lt;2),"⚠ Superset "&amp;$C$79&amp;" needs 2+ exercises",IF($C$77&lt;&gt;"",IFERROR("✓ "&amp;INDEX('Exercise Library'!$C$2:$C$319,MATCH($C$77,'Exercise Library'!$B$2:$B$319,0))&amp;IF(INDEX('Exercise Library'!$D$2:$D$319,MATCH($C$77,'Exercise Library'!$B$2:$B$319,0))="Yes"," · demo video","")&amp;" · "&amp;COUNT($E$81:$E$88)&amp;" sets","⚠ Not in the library — use Custom"),"✓ Custom ("&amp;$E$78&amp;") · "&amp;COUNT($E$81:$E$88)&amp;" sets"))))))),"⚠ Check this row")</f>
      </c>
      <c r="P77">
        <f>IF(OR($C$77&lt;&gt;"",$C$78&lt;&gt;""),$C$79,"")</f>
      </c>
    </row>
    <row r="78" spans="2:6" x14ac:dyDescent="0.25">
      <c r="B78" s="18" t="s">
        <v>46</v>
      </c>
      <c r="C78" s="5"/>
      <c r="D78" s="5"/>
      <c r="E78" s="5"/>
      <c r="F78" s="18" t="s">
        <v>47</v>
      </c>
    </row>
    <row r="79" ht="22" customHeight="1" spans="2:6" x14ac:dyDescent="0.25">
      <c r="B79" s="18" t="s">
        <v>48</v>
      </c>
      <c r="C79" s="22"/>
      <c r="D79" s="18" t="s">
        <v>49</v>
      </c>
      <c r="E79" s="5"/>
      <c r="F79" s="5"/>
    </row>
    <row r="80" spans="2:6" x14ac:dyDescent="0.25">
      <c r="B80" s="23" t="s">
        <v>50</v>
      </c>
      <c r="C80" s="23" t="s">
        <v>51</v>
      </c>
      <c r="D80" s="23" t="s">
        <v>52</v>
      </c>
      <c r="E80" s="23" t="s">
        <v>53</v>
      </c>
      <c r="F80" s="23" t="s">
        <v>54</v>
      </c>
    </row>
    <row r="81" spans="2:17" x14ac:dyDescent="0.25">
      <c r="B81" s="24">
        <v>1</v>
      </c>
      <c r="C81" s="22"/>
      <c r="D81" s="22"/>
      <c r="E81" s="22"/>
      <c r="F81" s="22"/>
      <c r="Q81">
        <f>IF(AND($E81="",COUNTA($C81:$D81,$F81)&gt;0),1,0)</f>
      </c>
    </row>
    <row r="82" spans="2:17" x14ac:dyDescent="0.25">
      <c r="B82" s="24">
        <v>2</v>
      </c>
      <c r="C82" s="22"/>
      <c r="D82" s="22"/>
      <c r="E82" s="22"/>
      <c r="F82" s="22"/>
      <c r="Q82">
        <f>IF(AND($E82="",COUNTA($C82:$D82,$F82)&gt;0),1,0)</f>
      </c>
    </row>
    <row r="83" spans="2:17" x14ac:dyDescent="0.25">
      <c r="B83" s="24">
        <v>3</v>
      </c>
      <c r="C83" s="22"/>
      <c r="D83" s="22"/>
      <c r="E83" s="22"/>
      <c r="F83" s="22"/>
      <c r="Q83">
        <f>IF(AND($E83="",COUNTA($C83:$D83,$F83)&gt;0),1,0)</f>
      </c>
    </row>
    <row r="84" spans="2:17" x14ac:dyDescent="0.25">
      <c r="B84" s="24">
        <v>4</v>
      </c>
      <c r="C84" s="22"/>
      <c r="D84" s="22"/>
      <c r="E84" s="22"/>
      <c r="F84" s="22"/>
      <c r="Q84">
        <f>IF(AND($E84="",COUNTA($C84:$D84,$F84)&gt;0),1,0)</f>
      </c>
    </row>
    <row r="85" spans="2:17" x14ac:dyDescent="0.25">
      <c r="B85" s="24">
        <v>5</v>
      </c>
      <c r="C85" s="22"/>
      <c r="D85" s="22"/>
      <c r="E85" s="22"/>
      <c r="F85" s="22"/>
      <c r="Q85">
        <f>IF(AND($E85="",COUNTA($C85:$D85,$F85)&gt;0),1,0)</f>
      </c>
    </row>
    <row r="86" spans="2:17" x14ac:dyDescent="0.25">
      <c r="B86" s="24">
        <v>6</v>
      </c>
      <c r="C86" s="22"/>
      <c r="D86" s="22"/>
      <c r="E86" s="22"/>
      <c r="F86" s="22"/>
      <c r="Q86">
        <f>IF(AND($E86="",COUNTA($C86:$D86,$F86)&gt;0),1,0)</f>
      </c>
    </row>
    <row r="87" spans="2:17" x14ac:dyDescent="0.25">
      <c r="B87" s="24">
        <v>7</v>
      </c>
      <c r="C87" s="22"/>
      <c r="D87" s="22"/>
      <c r="E87" s="22"/>
      <c r="F87" s="22"/>
      <c r="Q87">
        <f>IF(AND($E87="",COUNTA($C87:$D87,$F87)&gt;0),1,0)</f>
      </c>
    </row>
    <row r="88" spans="2:17" x14ac:dyDescent="0.25">
      <c r="B88" s="24">
        <v>8</v>
      </c>
      <c r="C88" s="22"/>
      <c r="D88" s="22"/>
      <c r="E88" s="22"/>
      <c r="F88" s="22"/>
      <c r="Q88">
        <f>IF(AND($E88="",COUNTA($C88:$D88,$F88)&gt;0),1,0)</f>
      </c>
    </row>
    <row r="90" spans="2:6" x14ac:dyDescent="0.25">
      <c r="B90" s="18" t="s">
        <v>44</v>
      </c>
      <c r="C90" s="19"/>
      <c r="D90" s="19"/>
      <c r="E90" s="5"/>
      <c r="F90" s="5"/>
    </row>
    <row r="91" ht="24" customHeight="1" spans="2:16" x14ac:dyDescent="0.25">
      <c r="B91" s="20" t="s">
        <v>60</v>
      </c>
      <c r="C91" s="21"/>
      <c r="D91" s="21"/>
      <c r="E91" s="21"/>
      <c r="F91" s="21"/>
      <c r="G91" s="4">
        <f>IFERROR(IF(AND($C$91="",$C$92=""),IF(COUNTA($C$90:$F$90,$E$93,$C$95:$F$102)+COUNTA($E$92,$C$93)&gt;0,"⚠ Pick an exercise for this card",""),IF(AND($C$91&lt;&gt;"",$C$92&lt;&gt;""),"⚠ Use the library OR a custom exercise, not both",IF(AND($C$92&lt;&gt;"",$E$92=""),"⚠ Pick a muscle group for the custom exercise",IF(COUNT($E$95:$E$102)=0,"⚠ Enter Goal Reps for at least one set",IF(SUM($Q$95:$Q$102)&gt;0,"⚠ A set is missing Goal Reps",IF(IF($C$93="",1=0,COUNTIF($P$7:$P$214,$C$93)&lt;2),"⚠ Superset "&amp;$C$93&amp;" needs 2+ exercises",IF($C$91&lt;&gt;"",IFERROR("✓ "&amp;INDEX('Exercise Library'!$C$2:$C$319,MATCH($C$91,'Exercise Library'!$B$2:$B$319,0))&amp;IF(INDEX('Exercise Library'!$D$2:$D$319,MATCH($C$91,'Exercise Library'!$B$2:$B$319,0))="Yes"," · demo video","")&amp;" · "&amp;COUNT($E$95:$E$102)&amp;" sets","⚠ Not in the library — use Custom"),"✓ Custom ("&amp;$E$92&amp;") · "&amp;COUNT($E$95:$E$102)&amp;" sets"))))))),"⚠ Check this row")</f>
      </c>
      <c r="P91">
        <f>IF(OR($C$91&lt;&gt;"",$C$92&lt;&gt;""),$C$93,"")</f>
      </c>
    </row>
    <row r="92" spans="2:6" x14ac:dyDescent="0.25">
      <c r="B92" s="18" t="s">
        <v>46</v>
      </c>
      <c r="C92" s="5"/>
      <c r="D92" s="5"/>
      <c r="E92" s="5"/>
      <c r="F92" s="18" t="s">
        <v>47</v>
      </c>
    </row>
    <row r="93" ht="22" customHeight="1" spans="2:6" x14ac:dyDescent="0.25">
      <c r="B93" s="18" t="s">
        <v>48</v>
      </c>
      <c r="C93" s="22"/>
      <c r="D93" s="18" t="s">
        <v>49</v>
      </c>
      <c r="E93" s="5"/>
      <c r="F93" s="5"/>
    </row>
    <row r="94" spans="2:6" x14ac:dyDescent="0.25">
      <c r="B94" s="23" t="s">
        <v>50</v>
      </c>
      <c r="C94" s="23" t="s">
        <v>51</v>
      </c>
      <c r="D94" s="23" t="s">
        <v>52</v>
      </c>
      <c r="E94" s="23" t="s">
        <v>53</v>
      </c>
      <c r="F94" s="23" t="s">
        <v>54</v>
      </c>
    </row>
    <row r="95" spans="2:17" x14ac:dyDescent="0.25">
      <c r="B95" s="24">
        <v>1</v>
      </c>
      <c r="C95" s="22"/>
      <c r="D95" s="22"/>
      <c r="E95" s="22"/>
      <c r="F95" s="22"/>
      <c r="Q95">
        <f>IF(AND($E95="",COUNTA($C95:$D95,$F95)&gt;0),1,0)</f>
      </c>
    </row>
    <row r="96" spans="2:17" x14ac:dyDescent="0.25">
      <c r="B96" s="24">
        <v>2</v>
      </c>
      <c r="C96" s="22"/>
      <c r="D96" s="22"/>
      <c r="E96" s="22"/>
      <c r="F96" s="22"/>
      <c r="Q96">
        <f>IF(AND($E96="",COUNTA($C96:$D96,$F96)&gt;0),1,0)</f>
      </c>
    </row>
    <row r="97" spans="2:17" x14ac:dyDescent="0.25">
      <c r="B97" s="24">
        <v>3</v>
      </c>
      <c r="C97" s="22"/>
      <c r="D97" s="22"/>
      <c r="E97" s="22"/>
      <c r="F97" s="22"/>
      <c r="Q97">
        <f>IF(AND($E97="",COUNTA($C97:$D97,$F97)&gt;0),1,0)</f>
      </c>
    </row>
    <row r="98" spans="2:17" x14ac:dyDescent="0.25">
      <c r="B98" s="24">
        <v>4</v>
      </c>
      <c r="C98" s="22"/>
      <c r="D98" s="22"/>
      <c r="E98" s="22"/>
      <c r="F98" s="22"/>
      <c r="Q98">
        <f>IF(AND($E98="",COUNTA($C98:$D98,$F98)&gt;0),1,0)</f>
      </c>
    </row>
    <row r="99" spans="2:17" x14ac:dyDescent="0.25">
      <c r="B99" s="24">
        <v>5</v>
      </c>
      <c r="C99" s="22"/>
      <c r="D99" s="22"/>
      <c r="E99" s="22"/>
      <c r="F99" s="22"/>
      <c r="Q99">
        <f>IF(AND($E99="",COUNTA($C99:$D99,$F99)&gt;0),1,0)</f>
      </c>
    </row>
    <row r="100" spans="2:17" x14ac:dyDescent="0.25">
      <c r="B100" s="24">
        <v>6</v>
      </c>
      <c r="C100" s="22"/>
      <c r="D100" s="22"/>
      <c r="E100" s="22"/>
      <c r="F100" s="22"/>
      <c r="Q100">
        <f>IF(AND($E100="",COUNTA($C100:$D100,$F100)&gt;0),1,0)</f>
      </c>
    </row>
    <row r="101" spans="2:17" x14ac:dyDescent="0.25">
      <c r="B101" s="24">
        <v>7</v>
      </c>
      <c r="C101" s="22"/>
      <c r="D101" s="22"/>
      <c r="E101" s="22"/>
      <c r="F101" s="22"/>
      <c r="Q101">
        <f>IF(AND($E101="",COUNTA($C101:$D101,$F101)&gt;0),1,0)</f>
      </c>
    </row>
    <row r="102" spans="2:17" x14ac:dyDescent="0.25">
      <c r="B102" s="24">
        <v>8</v>
      </c>
      <c r="C102" s="22"/>
      <c r="D102" s="22"/>
      <c r="E102" s="22"/>
      <c r="F102" s="22"/>
      <c r="Q102">
        <f>IF(AND($E102="",COUNTA($C102:$D102,$F102)&gt;0),1,0)</f>
      </c>
    </row>
    <row r="104" spans="2:6" x14ac:dyDescent="0.25">
      <c r="B104" s="18" t="s">
        <v>44</v>
      </c>
      <c r="C104" s="19"/>
      <c r="D104" s="19"/>
      <c r="E104" s="5"/>
      <c r="F104" s="5"/>
    </row>
    <row r="105" ht="24" customHeight="1" spans="2:16" x14ac:dyDescent="0.25">
      <c r="B105" s="20" t="s">
        <v>61</v>
      </c>
      <c r="C105" s="21"/>
      <c r="D105" s="21"/>
      <c r="E105" s="21"/>
      <c r="F105" s="21"/>
      <c r="G105" s="4">
        <f>IFERROR(IF(AND($C$105="",$C$106=""),IF(COUNTA($C$104:$F$104,$E$107,$C$109:$F$116)+COUNTA($E$106,$C$107)&gt;0,"⚠ Pick an exercise for this card",""),IF(AND($C$105&lt;&gt;"",$C$106&lt;&gt;""),"⚠ Use the library OR a custom exercise, not both",IF(AND($C$106&lt;&gt;"",$E$106=""),"⚠ Pick a muscle group for the custom exercise",IF(COUNT($E$109:$E$116)=0,"⚠ Enter Goal Reps for at least one set",IF(SUM($Q$109:$Q$116)&gt;0,"⚠ A set is missing Goal Reps",IF(IF($C$107="",1=0,COUNTIF($P$7:$P$214,$C$107)&lt;2),"⚠ Superset "&amp;$C$107&amp;" needs 2+ exercises",IF($C$105&lt;&gt;"",IFERROR("✓ "&amp;INDEX('Exercise Library'!$C$2:$C$319,MATCH($C$105,'Exercise Library'!$B$2:$B$319,0))&amp;IF(INDEX('Exercise Library'!$D$2:$D$319,MATCH($C$105,'Exercise Library'!$B$2:$B$319,0))="Yes"," · demo video","")&amp;" · "&amp;COUNT($E$109:$E$116)&amp;" sets","⚠ Not in the library — use Custom"),"✓ Custom ("&amp;$E$106&amp;") · "&amp;COUNT($E$109:$E$116)&amp;" sets"))))))),"⚠ Check this row")</f>
      </c>
      <c r="P105">
        <f>IF(OR($C$105&lt;&gt;"",$C$106&lt;&gt;""),$C$107,"")</f>
      </c>
    </row>
    <row r="106" spans="2:6" x14ac:dyDescent="0.25">
      <c r="B106" s="18" t="s">
        <v>46</v>
      </c>
      <c r="C106" s="5"/>
      <c r="D106" s="5"/>
      <c r="E106" s="5"/>
      <c r="F106" s="18" t="s">
        <v>47</v>
      </c>
    </row>
    <row r="107" ht="22" customHeight="1" spans="2:6" x14ac:dyDescent="0.25">
      <c r="B107" s="18" t="s">
        <v>48</v>
      </c>
      <c r="C107" s="22"/>
      <c r="D107" s="18" t="s">
        <v>49</v>
      </c>
      <c r="E107" s="5"/>
      <c r="F107" s="5"/>
    </row>
    <row r="108" spans="2:6" x14ac:dyDescent="0.25">
      <c r="B108" s="23" t="s">
        <v>50</v>
      </c>
      <c r="C108" s="23" t="s">
        <v>51</v>
      </c>
      <c r="D108" s="23" t="s">
        <v>52</v>
      </c>
      <c r="E108" s="23" t="s">
        <v>53</v>
      </c>
      <c r="F108" s="23" t="s">
        <v>54</v>
      </c>
    </row>
    <row r="109" spans="2:17" x14ac:dyDescent="0.25">
      <c r="B109" s="24">
        <v>1</v>
      </c>
      <c r="C109" s="22"/>
      <c r="D109" s="22"/>
      <c r="E109" s="22"/>
      <c r="F109" s="22"/>
      <c r="Q109">
        <f>IF(AND($E109="",COUNTA($C109:$D109,$F109)&gt;0),1,0)</f>
      </c>
    </row>
    <row r="110" spans="2:17" x14ac:dyDescent="0.25">
      <c r="B110" s="24">
        <v>2</v>
      </c>
      <c r="C110" s="22"/>
      <c r="D110" s="22"/>
      <c r="E110" s="22"/>
      <c r="F110" s="22"/>
      <c r="Q110">
        <f>IF(AND($E110="",COUNTA($C110:$D110,$F110)&gt;0),1,0)</f>
      </c>
    </row>
    <row r="111" spans="2:17" x14ac:dyDescent="0.25">
      <c r="B111" s="24">
        <v>3</v>
      </c>
      <c r="C111" s="22"/>
      <c r="D111" s="22"/>
      <c r="E111" s="22"/>
      <c r="F111" s="22"/>
      <c r="Q111">
        <f>IF(AND($E111="",COUNTA($C111:$D111,$F111)&gt;0),1,0)</f>
      </c>
    </row>
    <row r="112" spans="2:17" x14ac:dyDescent="0.25">
      <c r="B112" s="24">
        <v>4</v>
      </c>
      <c r="C112" s="22"/>
      <c r="D112" s="22"/>
      <c r="E112" s="22"/>
      <c r="F112" s="22"/>
      <c r="Q112">
        <f>IF(AND($E112="",COUNTA($C112:$D112,$F112)&gt;0),1,0)</f>
      </c>
    </row>
    <row r="113" spans="2:17" x14ac:dyDescent="0.25">
      <c r="B113" s="24">
        <v>5</v>
      </c>
      <c r="C113" s="22"/>
      <c r="D113" s="22"/>
      <c r="E113" s="22"/>
      <c r="F113" s="22"/>
      <c r="Q113">
        <f>IF(AND($E113="",COUNTA($C113:$D113,$F113)&gt;0),1,0)</f>
      </c>
    </row>
    <row r="114" spans="2:17" x14ac:dyDescent="0.25">
      <c r="B114" s="24">
        <v>6</v>
      </c>
      <c r="C114" s="22"/>
      <c r="D114" s="22"/>
      <c r="E114" s="22"/>
      <c r="F114" s="22"/>
      <c r="Q114">
        <f>IF(AND($E114="",COUNTA($C114:$D114,$F114)&gt;0),1,0)</f>
      </c>
    </row>
    <row r="115" spans="2:17" x14ac:dyDescent="0.25">
      <c r="B115" s="24">
        <v>7</v>
      </c>
      <c r="C115" s="22"/>
      <c r="D115" s="22"/>
      <c r="E115" s="22"/>
      <c r="F115" s="22"/>
      <c r="Q115">
        <f>IF(AND($E115="",COUNTA($C115:$D115,$F115)&gt;0),1,0)</f>
      </c>
    </row>
    <row r="116" spans="2:17" x14ac:dyDescent="0.25">
      <c r="B116" s="24">
        <v>8</v>
      </c>
      <c r="C116" s="22"/>
      <c r="D116" s="22"/>
      <c r="E116" s="22"/>
      <c r="F116" s="22"/>
      <c r="Q116">
        <f>IF(AND($E116="",COUNTA($C116:$D116,$F116)&gt;0),1,0)</f>
      </c>
    </row>
    <row r="118" spans="2:6" x14ac:dyDescent="0.25">
      <c r="B118" s="18" t="s">
        <v>44</v>
      </c>
      <c r="C118" s="19"/>
      <c r="D118" s="19"/>
      <c r="E118" s="5"/>
      <c r="F118" s="5"/>
    </row>
    <row r="119" ht="24" customHeight="1" spans="2:16" x14ac:dyDescent="0.25">
      <c r="B119" s="20" t="s">
        <v>62</v>
      </c>
      <c r="C119" s="21"/>
      <c r="D119" s="21"/>
      <c r="E119" s="21"/>
      <c r="F119" s="21"/>
      <c r="G119" s="4">
        <f>IFERROR(IF(AND($C$119="",$C$120=""),IF(COUNTA($C$118:$F$118,$E$121,$C$123:$F$130)+COUNTA($E$120,$C$121)&gt;0,"⚠ Pick an exercise for this card",""),IF(AND($C$119&lt;&gt;"",$C$120&lt;&gt;""),"⚠ Use the library OR a custom exercise, not both",IF(AND($C$120&lt;&gt;"",$E$120=""),"⚠ Pick a muscle group for the custom exercise",IF(COUNT($E$123:$E$130)=0,"⚠ Enter Goal Reps for at least one set",IF(SUM($Q$123:$Q$130)&gt;0,"⚠ A set is missing Goal Reps",IF(IF($C$121="",1=0,COUNTIF($P$7:$P$214,$C$121)&lt;2),"⚠ Superset "&amp;$C$121&amp;" needs 2+ exercises",IF($C$119&lt;&gt;"",IFERROR("✓ "&amp;INDEX('Exercise Library'!$C$2:$C$319,MATCH($C$119,'Exercise Library'!$B$2:$B$319,0))&amp;IF(INDEX('Exercise Library'!$D$2:$D$319,MATCH($C$119,'Exercise Library'!$B$2:$B$319,0))="Yes"," · demo video","")&amp;" · "&amp;COUNT($E$123:$E$130)&amp;" sets","⚠ Not in the library — use Custom"),"✓ Custom ("&amp;$E$120&amp;") · "&amp;COUNT($E$123:$E$130)&amp;" sets"))))))),"⚠ Check this row")</f>
      </c>
      <c r="P119">
        <f>IF(OR($C$119&lt;&gt;"",$C$120&lt;&gt;""),$C$121,"")</f>
      </c>
    </row>
    <row r="120" spans="2:6" x14ac:dyDescent="0.25">
      <c r="B120" s="18" t="s">
        <v>46</v>
      </c>
      <c r="C120" s="5"/>
      <c r="D120" s="5"/>
      <c r="E120" s="5"/>
      <c r="F120" s="18" t="s">
        <v>47</v>
      </c>
    </row>
    <row r="121" ht="22" customHeight="1" spans="2:6" x14ac:dyDescent="0.25">
      <c r="B121" s="18" t="s">
        <v>48</v>
      </c>
      <c r="C121" s="22"/>
      <c r="D121" s="18" t="s">
        <v>49</v>
      </c>
      <c r="E121" s="5"/>
      <c r="F121" s="5"/>
    </row>
    <row r="122" spans="2:6" x14ac:dyDescent="0.25">
      <c r="B122" s="23" t="s">
        <v>50</v>
      </c>
      <c r="C122" s="23" t="s">
        <v>51</v>
      </c>
      <c r="D122" s="23" t="s">
        <v>52</v>
      </c>
      <c r="E122" s="23" t="s">
        <v>53</v>
      </c>
      <c r="F122" s="23" t="s">
        <v>54</v>
      </c>
    </row>
    <row r="123" spans="2:17" x14ac:dyDescent="0.25">
      <c r="B123" s="24">
        <v>1</v>
      </c>
      <c r="C123" s="22"/>
      <c r="D123" s="22"/>
      <c r="E123" s="22"/>
      <c r="F123" s="22"/>
      <c r="Q123">
        <f>IF(AND($E123="",COUNTA($C123:$D123,$F123)&gt;0),1,0)</f>
      </c>
    </row>
    <row r="124" spans="2:17" x14ac:dyDescent="0.25">
      <c r="B124" s="24">
        <v>2</v>
      </c>
      <c r="C124" s="22"/>
      <c r="D124" s="22"/>
      <c r="E124" s="22"/>
      <c r="F124" s="22"/>
      <c r="Q124">
        <f>IF(AND($E124="",COUNTA($C124:$D124,$F124)&gt;0),1,0)</f>
      </c>
    </row>
    <row r="125" spans="2:17" x14ac:dyDescent="0.25">
      <c r="B125" s="24">
        <v>3</v>
      </c>
      <c r="C125" s="22"/>
      <c r="D125" s="22"/>
      <c r="E125" s="22"/>
      <c r="F125" s="22"/>
      <c r="Q125">
        <f>IF(AND($E125="",COUNTA($C125:$D125,$F125)&gt;0),1,0)</f>
      </c>
    </row>
    <row r="126" spans="2:17" x14ac:dyDescent="0.25">
      <c r="B126" s="24">
        <v>4</v>
      </c>
      <c r="C126" s="22"/>
      <c r="D126" s="22"/>
      <c r="E126" s="22"/>
      <c r="F126" s="22"/>
      <c r="Q126">
        <f>IF(AND($E126="",COUNTA($C126:$D126,$F126)&gt;0),1,0)</f>
      </c>
    </row>
    <row r="127" spans="2:17" x14ac:dyDescent="0.25">
      <c r="B127" s="24">
        <v>5</v>
      </c>
      <c r="C127" s="22"/>
      <c r="D127" s="22"/>
      <c r="E127" s="22"/>
      <c r="F127" s="22"/>
      <c r="Q127">
        <f>IF(AND($E127="",COUNTA($C127:$D127,$F127)&gt;0),1,0)</f>
      </c>
    </row>
    <row r="128" spans="2:17" x14ac:dyDescent="0.25">
      <c r="B128" s="24">
        <v>6</v>
      </c>
      <c r="C128" s="22"/>
      <c r="D128" s="22"/>
      <c r="E128" s="22"/>
      <c r="F128" s="22"/>
      <c r="Q128">
        <f>IF(AND($E128="",COUNTA($C128:$D128,$F128)&gt;0),1,0)</f>
      </c>
    </row>
    <row r="129" spans="2:17" x14ac:dyDescent="0.25">
      <c r="B129" s="24">
        <v>7</v>
      </c>
      <c r="C129" s="22"/>
      <c r="D129" s="22"/>
      <c r="E129" s="22"/>
      <c r="F129" s="22"/>
      <c r="Q129">
        <f>IF(AND($E129="",COUNTA($C129:$D129,$F129)&gt;0),1,0)</f>
      </c>
    </row>
    <row r="130" spans="2:17" x14ac:dyDescent="0.25">
      <c r="B130" s="24">
        <v>8</v>
      </c>
      <c r="C130" s="22"/>
      <c r="D130" s="22"/>
      <c r="E130" s="22"/>
      <c r="F130" s="22"/>
      <c r="Q130">
        <f>IF(AND($E130="",COUNTA($C130:$D130,$F130)&gt;0),1,0)</f>
      </c>
    </row>
    <row r="132" spans="2:6" x14ac:dyDescent="0.25">
      <c r="B132" s="18" t="s">
        <v>44</v>
      </c>
      <c r="C132" s="19"/>
      <c r="D132" s="19"/>
      <c r="E132" s="5"/>
      <c r="F132" s="5"/>
    </row>
    <row r="133" ht="24" customHeight="1" spans="2:16" x14ac:dyDescent="0.25">
      <c r="B133" s="20" t="s">
        <v>63</v>
      </c>
      <c r="C133" s="21"/>
      <c r="D133" s="21"/>
      <c r="E133" s="21"/>
      <c r="F133" s="21"/>
      <c r="G133" s="4">
        <f>IFERROR(IF(AND($C$133="",$C$134=""),IF(COUNTA($C$132:$F$132,$E$135,$C$137:$F$144)+COUNTA($E$134,$C$135)&gt;0,"⚠ Pick an exercise for this card",""),IF(AND($C$133&lt;&gt;"",$C$134&lt;&gt;""),"⚠ Use the library OR a custom exercise, not both",IF(AND($C$134&lt;&gt;"",$E$134=""),"⚠ Pick a muscle group for the custom exercise",IF(COUNT($E$137:$E$144)=0,"⚠ Enter Goal Reps for at least one set",IF(SUM($Q$137:$Q$144)&gt;0,"⚠ A set is missing Goal Reps",IF(IF($C$135="",1=0,COUNTIF($P$7:$P$214,$C$135)&lt;2),"⚠ Superset "&amp;$C$135&amp;" needs 2+ exercises",IF($C$133&lt;&gt;"",IFERROR("✓ "&amp;INDEX('Exercise Library'!$C$2:$C$319,MATCH($C$133,'Exercise Library'!$B$2:$B$319,0))&amp;IF(INDEX('Exercise Library'!$D$2:$D$319,MATCH($C$133,'Exercise Library'!$B$2:$B$319,0))="Yes"," · demo video","")&amp;" · "&amp;COUNT($E$137:$E$144)&amp;" sets","⚠ Not in the library — use Custom"),"✓ Custom ("&amp;$E$134&amp;") · "&amp;COUNT($E$137:$E$144)&amp;" sets"))))))),"⚠ Check this row")</f>
      </c>
      <c r="P133">
        <f>IF(OR($C$133&lt;&gt;"",$C$134&lt;&gt;""),$C$135,"")</f>
      </c>
    </row>
    <row r="134" spans="2:6" x14ac:dyDescent="0.25">
      <c r="B134" s="18" t="s">
        <v>46</v>
      </c>
      <c r="C134" s="5"/>
      <c r="D134" s="5"/>
      <c r="E134" s="5"/>
      <c r="F134" s="18" t="s">
        <v>47</v>
      </c>
    </row>
    <row r="135" ht="22" customHeight="1" spans="2:6" x14ac:dyDescent="0.25">
      <c r="B135" s="18" t="s">
        <v>48</v>
      </c>
      <c r="C135" s="22"/>
      <c r="D135" s="18" t="s">
        <v>49</v>
      </c>
      <c r="E135" s="5"/>
      <c r="F135" s="5"/>
    </row>
    <row r="136" spans="2:6" x14ac:dyDescent="0.25">
      <c r="B136" s="23" t="s">
        <v>50</v>
      </c>
      <c r="C136" s="23" t="s">
        <v>51</v>
      </c>
      <c r="D136" s="23" t="s">
        <v>52</v>
      </c>
      <c r="E136" s="23" t="s">
        <v>53</v>
      </c>
      <c r="F136" s="23" t="s">
        <v>54</v>
      </c>
    </row>
    <row r="137" spans="2:17" x14ac:dyDescent="0.25">
      <c r="B137" s="24">
        <v>1</v>
      </c>
      <c r="C137" s="22"/>
      <c r="D137" s="22"/>
      <c r="E137" s="22"/>
      <c r="F137" s="22"/>
      <c r="Q137">
        <f>IF(AND($E137="",COUNTA($C137:$D137,$F137)&gt;0),1,0)</f>
      </c>
    </row>
    <row r="138" spans="2:17" x14ac:dyDescent="0.25">
      <c r="B138" s="24">
        <v>2</v>
      </c>
      <c r="C138" s="22"/>
      <c r="D138" s="22"/>
      <c r="E138" s="22"/>
      <c r="F138" s="22"/>
      <c r="Q138">
        <f>IF(AND($E138="",COUNTA($C138:$D138,$F138)&gt;0),1,0)</f>
      </c>
    </row>
    <row r="139" spans="2:17" x14ac:dyDescent="0.25">
      <c r="B139" s="24">
        <v>3</v>
      </c>
      <c r="C139" s="22"/>
      <c r="D139" s="22"/>
      <c r="E139" s="22"/>
      <c r="F139" s="22"/>
      <c r="Q139">
        <f>IF(AND($E139="",COUNTA($C139:$D139,$F139)&gt;0),1,0)</f>
      </c>
    </row>
    <row r="140" spans="2:17" x14ac:dyDescent="0.25">
      <c r="B140" s="24">
        <v>4</v>
      </c>
      <c r="C140" s="22"/>
      <c r="D140" s="22"/>
      <c r="E140" s="22"/>
      <c r="F140" s="22"/>
      <c r="Q140">
        <f>IF(AND($E140="",COUNTA($C140:$D140,$F140)&gt;0),1,0)</f>
      </c>
    </row>
    <row r="141" spans="2:17" x14ac:dyDescent="0.25">
      <c r="B141" s="24">
        <v>5</v>
      </c>
      <c r="C141" s="22"/>
      <c r="D141" s="22"/>
      <c r="E141" s="22"/>
      <c r="F141" s="22"/>
      <c r="Q141">
        <f>IF(AND($E141="",COUNTA($C141:$D141,$F141)&gt;0),1,0)</f>
      </c>
    </row>
    <row r="142" spans="2:17" x14ac:dyDescent="0.25">
      <c r="B142" s="24">
        <v>6</v>
      </c>
      <c r="C142" s="22"/>
      <c r="D142" s="22"/>
      <c r="E142" s="22"/>
      <c r="F142" s="22"/>
      <c r="Q142">
        <f>IF(AND($E142="",COUNTA($C142:$D142,$F142)&gt;0),1,0)</f>
      </c>
    </row>
    <row r="143" spans="2:17" x14ac:dyDescent="0.25">
      <c r="B143" s="24">
        <v>7</v>
      </c>
      <c r="C143" s="22"/>
      <c r="D143" s="22"/>
      <c r="E143" s="22"/>
      <c r="F143" s="22"/>
      <c r="Q143">
        <f>IF(AND($E143="",COUNTA($C143:$D143,$F143)&gt;0),1,0)</f>
      </c>
    </row>
    <row r="144" spans="2:17" x14ac:dyDescent="0.25">
      <c r="B144" s="24">
        <v>8</v>
      </c>
      <c r="C144" s="22"/>
      <c r="D144" s="22"/>
      <c r="E144" s="22"/>
      <c r="F144" s="22"/>
      <c r="Q144">
        <f>IF(AND($E144="",COUNTA($C144:$D144,$F144)&gt;0),1,0)</f>
      </c>
    </row>
    <row r="146" spans="2:6" x14ac:dyDescent="0.25">
      <c r="B146" s="18" t="s">
        <v>44</v>
      </c>
      <c r="C146" s="19"/>
      <c r="D146" s="19"/>
      <c r="E146" s="5"/>
      <c r="F146" s="5"/>
    </row>
    <row r="147" ht="24" customHeight="1" spans="2:16" x14ac:dyDescent="0.25">
      <c r="B147" s="20" t="s">
        <v>64</v>
      </c>
      <c r="C147" s="21"/>
      <c r="D147" s="21"/>
      <c r="E147" s="21"/>
      <c r="F147" s="21"/>
      <c r="G147" s="4">
        <f>IFERROR(IF(AND($C$147="",$C$148=""),IF(COUNTA($C$146:$F$146,$E$149,$C$151:$F$158)+COUNTA($E$148,$C$149)&gt;0,"⚠ Pick an exercise for this card",""),IF(AND($C$147&lt;&gt;"",$C$148&lt;&gt;""),"⚠ Use the library OR a custom exercise, not both",IF(AND($C$148&lt;&gt;"",$E$148=""),"⚠ Pick a muscle group for the custom exercise",IF(COUNT($E$151:$E$158)=0,"⚠ Enter Goal Reps for at least one set",IF(SUM($Q$151:$Q$158)&gt;0,"⚠ A set is missing Goal Reps",IF(IF($C$149="",1=0,COUNTIF($P$7:$P$214,$C$149)&lt;2),"⚠ Superset "&amp;$C$149&amp;" needs 2+ exercises",IF($C$147&lt;&gt;"",IFERROR("✓ "&amp;INDEX('Exercise Library'!$C$2:$C$319,MATCH($C$147,'Exercise Library'!$B$2:$B$319,0))&amp;IF(INDEX('Exercise Library'!$D$2:$D$319,MATCH($C$147,'Exercise Library'!$B$2:$B$319,0))="Yes"," · demo video","")&amp;" · "&amp;COUNT($E$151:$E$158)&amp;" sets","⚠ Not in the library — use Custom"),"✓ Custom ("&amp;$E$148&amp;") · "&amp;COUNT($E$151:$E$158)&amp;" sets"))))))),"⚠ Check this row")</f>
      </c>
      <c r="P147">
        <f>IF(OR($C$147&lt;&gt;"",$C$148&lt;&gt;""),$C$149,"")</f>
      </c>
    </row>
    <row r="148" spans="2:6" x14ac:dyDescent="0.25">
      <c r="B148" s="18" t="s">
        <v>46</v>
      </c>
      <c r="C148" s="5"/>
      <c r="D148" s="5"/>
      <c r="E148" s="5"/>
      <c r="F148" s="18" t="s">
        <v>47</v>
      </c>
    </row>
    <row r="149" ht="22" customHeight="1" spans="2:6" x14ac:dyDescent="0.25">
      <c r="B149" s="18" t="s">
        <v>48</v>
      </c>
      <c r="C149" s="22"/>
      <c r="D149" s="18" t="s">
        <v>49</v>
      </c>
      <c r="E149" s="5"/>
      <c r="F149" s="5"/>
    </row>
    <row r="150" spans="2:6" x14ac:dyDescent="0.25">
      <c r="B150" s="23" t="s">
        <v>50</v>
      </c>
      <c r="C150" s="23" t="s">
        <v>51</v>
      </c>
      <c r="D150" s="23" t="s">
        <v>52</v>
      </c>
      <c r="E150" s="23" t="s">
        <v>53</v>
      </c>
      <c r="F150" s="23" t="s">
        <v>54</v>
      </c>
    </row>
    <row r="151" spans="2:17" x14ac:dyDescent="0.25">
      <c r="B151" s="24">
        <v>1</v>
      </c>
      <c r="C151" s="22"/>
      <c r="D151" s="22"/>
      <c r="E151" s="22"/>
      <c r="F151" s="22"/>
      <c r="Q151">
        <f>IF(AND($E151="",COUNTA($C151:$D151,$F151)&gt;0),1,0)</f>
      </c>
    </row>
    <row r="152" spans="2:17" x14ac:dyDescent="0.25">
      <c r="B152" s="24">
        <v>2</v>
      </c>
      <c r="C152" s="22"/>
      <c r="D152" s="22"/>
      <c r="E152" s="22"/>
      <c r="F152" s="22"/>
      <c r="Q152">
        <f>IF(AND($E152="",COUNTA($C152:$D152,$F152)&gt;0),1,0)</f>
      </c>
    </row>
    <row r="153" spans="2:17" x14ac:dyDescent="0.25">
      <c r="B153" s="24">
        <v>3</v>
      </c>
      <c r="C153" s="22"/>
      <c r="D153" s="22"/>
      <c r="E153" s="22"/>
      <c r="F153" s="22"/>
      <c r="Q153">
        <f>IF(AND($E153="",COUNTA($C153:$D153,$F153)&gt;0),1,0)</f>
      </c>
    </row>
    <row r="154" spans="2:17" x14ac:dyDescent="0.25">
      <c r="B154" s="24">
        <v>4</v>
      </c>
      <c r="C154" s="22"/>
      <c r="D154" s="22"/>
      <c r="E154" s="22"/>
      <c r="F154" s="22"/>
      <c r="Q154">
        <f>IF(AND($E154="",COUNTA($C154:$D154,$F154)&gt;0),1,0)</f>
      </c>
    </row>
    <row r="155" spans="2:17" x14ac:dyDescent="0.25">
      <c r="B155" s="24">
        <v>5</v>
      </c>
      <c r="C155" s="22"/>
      <c r="D155" s="22"/>
      <c r="E155" s="22"/>
      <c r="F155" s="22"/>
      <c r="Q155">
        <f>IF(AND($E155="",COUNTA($C155:$D155,$F155)&gt;0),1,0)</f>
      </c>
    </row>
    <row r="156" spans="2:17" x14ac:dyDescent="0.25">
      <c r="B156" s="24">
        <v>6</v>
      </c>
      <c r="C156" s="22"/>
      <c r="D156" s="22"/>
      <c r="E156" s="22"/>
      <c r="F156" s="22"/>
      <c r="Q156">
        <f>IF(AND($E156="",COUNTA($C156:$D156,$F156)&gt;0),1,0)</f>
      </c>
    </row>
    <row r="157" spans="2:17" x14ac:dyDescent="0.25">
      <c r="B157" s="24">
        <v>7</v>
      </c>
      <c r="C157" s="22"/>
      <c r="D157" s="22"/>
      <c r="E157" s="22"/>
      <c r="F157" s="22"/>
      <c r="Q157">
        <f>IF(AND($E157="",COUNTA($C157:$D157,$F157)&gt;0),1,0)</f>
      </c>
    </row>
    <row r="158" spans="2:17" x14ac:dyDescent="0.25">
      <c r="B158" s="24">
        <v>8</v>
      </c>
      <c r="C158" s="22"/>
      <c r="D158" s="22"/>
      <c r="E158" s="22"/>
      <c r="F158" s="22"/>
      <c r="Q158">
        <f>IF(AND($E158="",COUNTA($C158:$D158,$F158)&gt;0),1,0)</f>
      </c>
    </row>
    <row r="160" spans="2:6" x14ac:dyDescent="0.25">
      <c r="B160" s="18" t="s">
        <v>44</v>
      </c>
      <c r="C160" s="19"/>
      <c r="D160" s="19"/>
      <c r="E160" s="5"/>
      <c r="F160" s="5"/>
    </row>
    <row r="161" ht="24" customHeight="1" spans="2:16" x14ac:dyDescent="0.25">
      <c r="B161" s="20" t="s">
        <v>65</v>
      </c>
      <c r="C161" s="21"/>
      <c r="D161" s="21"/>
      <c r="E161" s="21"/>
      <c r="F161" s="21"/>
      <c r="G161" s="4">
        <f>IFERROR(IF(AND($C$161="",$C$162=""),IF(COUNTA($C$160:$F$160,$E$163,$C$165:$F$172)+COUNTA($E$162,$C$163)&gt;0,"⚠ Pick an exercise for this card",""),IF(AND($C$161&lt;&gt;"",$C$162&lt;&gt;""),"⚠ Use the library OR a custom exercise, not both",IF(AND($C$162&lt;&gt;"",$E$162=""),"⚠ Pick a muscle group for the custom exercise",IF(COUNT($E$165:$E$172)=0,"⚠ Enter Goal Reps for at least one set",IF(SUM($Q$165:$Q$172)&gt;0,"⚠ A set is missing Goal Reps",IF(IF($C$163="",1=0,COUNTIF($P$7:$P$214,$C$163)&lt;2),"⚠ Superset "&amp;$C$163&amp;" needs 2+ exercises",IF($C$161&lt;&gt;"",IFERROR("✓ "&amp;INDEX('Exercise Library'!$C$2:$C$319,MATCH($C$161,'Exercise Library'!$B$2:$B$319,0))&amp;IF(INDEX('Exercise Library'!$D$2:$D$319,MATCH($C$161,'Exercise Library'!$B$2:$B$319,0))="Yes"," · demo video","")&amp;" · "&amp;COUNT($E$165:$E$172)&amp;" sets","⚠ Not in the library — use Custom"),"✓ Custom ("&amp;$E$162&amp;") · "&amp;COUNT($E$165:$E$172)&amp;" sets"))))))),"⚠ Check this row")</f>
      </c>
      <c r="P161">
        <f>IF(OR($C$161&lt;&gt;"",$C$162&lt;&gt;""),$C$163,"")</f>
      </c>
    </row>
    <row r="162" spans="2:6" x14ac:dyDescent="0.25">
      <c r="B162" s="18" t="s">
        <v>46</v>
      </c>
      <c r="C162" s="5"/>
      <c r="D162" s="5"/>
      <c r="E162" s="5"/>
      <c r="F162" s="18" t="s">
        <v>47</v>
      </c>
    </row>
    <row r="163" ht="22" customHeight="1" spans="2:6" x14ac:dyDescent="0.25">
      <c r="B163" s="18" t="s">
        <v>48</v>
      </c>
      <c r="C163" s="22"/>
      <c r="D163" s="18" t="s">
        <v>49</v>
      </c>
      <c r="E163" s="5"/>
      <c r="F163" s="5"/>
    </row>
    <row r="164" spans="2:6" x14ac:dyDescent="0.25">
      <c r="B164" s="23" t="s">
        <v>50</v>
      </c>
      <c r="C164" s="23" t="s">
        <v>51</v>
      </c>
      <c r="D164" s="23" t="s">
        <v>52</v>
      </c>
      <c r="E164" s="23" t="s">
        <v>53</v>
      </c>
      <c r="F164" s="23" t="s">
        <v>54</v>
      </c>
    </row>
    <row r="165" spans="2:17" x14ac:dyDescent="0.25">
      <c r="B165" s="24">
        <v>1</v>
      </c>
      <c r="C165" s="22"/>
      <c r="D165" s="22"/>
      <c r="E165" s="22"/>
      <c r="F165" s="22"/>
      <c r="Q165">
        <f>IF(AND($E165="",COUNTA($C165:$D165,$F165)&gt;0),1,0)</f>
      </c>
    </row>
    <row r="166" spans="2:17" x14ac:dyDescent="0.25">
      <c r="B166" s="24">
        <v>2</v>
      </c>
      <c r="C166" s="22"/>
      <c r="D166" s="22"/>
      <c r="E166" s="22"/>
      <c r="F166" s="22"/>
      <c r="Q166">
        <f>IF(AND($E166="",COUNTA($C166:$D166,$F166)&gt;0),1,0)</f>
      </c>
    </row>
    <row r="167" spans="2:17" x14ac:dyDescent="0.25">
      <c r="B167" s="24">
        <v>3</v>
      </c>
      <c r="C167" s="22"/>
      <c r="D167" s="22"/>
      <c r="E167" s="22"/>
      <c r="F167" s="22"/>
      <c r="Q167">
        <f>IF(AND($E167="",COUNTA($C167:$D167,$F167)&gt;0),1,0)</f>
      </c>
    </row>
    <row r="168" spans="2:17" x14ac:dyDescent="0.25">
      <c r="B168" s="24">
        <v>4</v>
      </c>
      <c r="C168" s="22"/>
      <c r="D168" s="22"/>
      <c r="E168" s="22"/>
      <c r="F168" s="22"/>
      <c r="Q168">
        <f>IF(AND($E168="",COUNTA($C168:$D168,$F168)&gt;0),1,0)</f>
      </c>
    </row>
    <row r="169" spans="2:17" x14ac:dyDescent="0.25">
      <c r="B169" s="24">
        <v>5</v>
      </c>
      <c r="C169" s="22"/>
      <c r="D169" s="22"/>
      <c r="E169" s="22"/>
      <c r="F169" s="22"/>
      <c r="Q169">
        <f>IF(AND($E169="",COUNTA($C169:$D169,$F169)&gt;0),1,0)</f>
      </c>
    </row>
    <row r="170" spans="2:17" x14ac:dyDescent="0.25">
      <c r="B170" s="24">
        <v>6</v>
      </c>
      <c r="C170" s="22"/>
      <c r="D170" s="22"/>
      <c r="E170" s="22"/>
      <c r="F170" s="22"/>
      <c r="Q170">
        <f>IF(AND($E170="",COUNTA($C170:$D170,$F170)&gt;0),1,0)</f>
      </c>
    </row>
    <row r="171" spans="2:17" x14ac:dyDescent="0.25">
      <c r="B171" s="24">
        <v>7</v>
      </c>
      <c r="C171" s="22"/>
      <c r="D171" s="22"/>
      <c r="E171" s="22"/>
      <c r="F171" s="22"/>
      <c r="Q171">
        <f>IF(AND($E171="",COUNTA($C171:$D171,$F171)&gt;0),1,0)</f>
      </c>
    </row>
    <row r="172" spans="2:17" x14ac:dyDescent="0.25">
      <c r="B172" s="24">
        <v>8</v>
      </c>
      <c r="C172" s="22"/>
      <c r="D172" s="22"/>
      <c r="E172" s="22"/>
      <c r="F172" s="22"/>
      <c r="Q172">
        <f>IF(AND($E172="",COUNTA($C172:$D172,$F172)&gt;0),1,0)</f>
      </c>
    </row>
    <row r="174" spans="2:6" x14ac:dyDescent="0.25">
      <c r="B174" s="18" t="s">
        <v>44</v>
      </c>
      <c r="C174" s="19"/>
      <c r="D174" s="19"/>
      <c r="E174" s="5"/>
      <c r="F174" s="5"/>
    </row>
    <row r="175" ht="24" customHeight="1" spans="2:16" x14ac:dyDescent="0.25">
      <c r="B175" s="20" t="s">
        <v>66</v>
      </c>
      <c r="C175" s="21"/>
      <c r="D175" s="21"/>
      <c r="E175" s="21"/>
      <c r="F175" s="21"/>
      <c r="G175" s="4">
        <f>IFERROR(IF(AND($C$175="",$C$176=""),IF(COUNTA($C$174:$F$174,$E$177,$C$179:$F$186)+COUNTA($E$176,$C$177)&gt;0,"⚠ Pick an exercise for this card",""),IF(AND($C$175&lt;&gt;"",$C$176&lt;&gt;""),"⚠ Use the library OR a custom exercise, not both",IF(AND($C$176&lt;&gt;"",$E$176=""),"⚠ Pick a muscle group for the custom exercise",IF(COUNT($E$179:$E$186)=0,"⚠ Enter Goal Reps for at least one set",IF(SUM($Q$179:$Q$186)&gt;0,"⚠ A set is missing Goal Reps",IF(IF($C$177="",1=0,COUNTIF($P$7:$P$214,$C$177)&lt;2),"⚠ Superset "&amp;$C$177&amp;" needs 2+ exercises",IF($C$175&lt;&gt;"",IFERROR("✓ "&amp;INDEX('Exercise Library'!$C$2:$C$319,MATCH($C$175,'Exercise Library'!$B$2:$B$319,0))&amp;IF(INDEX('Exercise Library'!$D$2:$D$319,MATCH($C$175,'Exercise Library'!$B$2:$B$319,0))="Yes"," · demo video","")&amp;" · "&amp;COUNT($E$179:$E$186)&amp;" sets","⚠ Not in the library — use Custom"),"✓ Custom ("&amp;$E$176&amp;") · "&amp;COUNT($E$179:$E$186)&amp;" sets"))))))),"⚠ Check this row")</f>
      </c>
      <c r="P175">
        <f>IF(OR($C$175&lt;&gt;"",$C$176&lt;&gt;""),$C$177,"")</f>
      </c>
    </row>
    <row r="176" spans="2:6" x14ac:dyDescent="0.25">
      <c r="B176" s="18" t="s">
        <v>46</v>
      </c>
      <c r="C176" s="5"/>
      <c r="D176" s="5"/>
      <c r="E176" s="5"/>
      <c r="F176" s="18" t="s">
        <v>47</v>
      </c>
    </row>
    <row r="177" ht="22" customHeight="1" spans="2:6" x14ac:dyDescent="0.25">
      <c r="B177" s="18" t="s">
        <v>48</v>
      </c>
      <c r="C177" s="22"/>
      <c r="D177" s="18" t="s">
        <v>49</v>
      </c>
      <c r="E177" s="5"/>
      <c r="F177" s="5"/>
    </row>
    <row r="178" spans="2:6" x14ac:dyDescent="0.25">
      <c r="B178" s="23" t="s">
        <v>50</v>
      </c>
      <c r="C178" s="23" t="s">
        <v>51</v>
      </c>
      <c r="D178" s="23" t="s">
        <v>52</v>
      </c>
      <c r="E178" s="23" t="s">
        <v>53</v>
      </c>
      <c r="F178" s="23" t="s">
        <v>54</v>
      </c>
    </row>
    <row r="179" spans="2:17" x14ac:dyDescent="0.25">
      <c r="B179" s="24">
        <v>1</v>
      </c>
      <c r="C179" s="22"/>
      <c r="D179" s="22"/>
      <c r="E179" s="22"/>
      <c r="F179" s="22"/>
      <c r="Q179">
        <f>IF(AND($E179="",COUNTA($C179:$D179,$F179)&gt;0),1,0)</f>
      </c>
    </row>
    <row r="180" spans="2:17" x14ac:dyDescent="0.25">
      <c r="B180" s="24">
        <v>2</v>
      </c>
      <c r="C180" s="22"/>
      <c r="D180" s="22"/>
      <c r="E180" s="22"/>
      <c r="F180" s="22"/>
      <c r="Q180">
        <f>IF(AND($E180="",COUNTA($C180:$D180,$F180)&gt;0),1,0)</f>
      </c>
    </row>
    <row r="181" spans="2:17" x14ac:dyDescent="0.25">
      <c r="B181" s="24">
        <v>3</v>
      </c>
      <c r="C181" s="22"/>
      <c r="D181" s="22"/>
      <c r="E181" s="22"/>
      <c r="F181" s="22"/>
      <c r="Q181">
        <f>IF(AND($E181="",COUNTA($C181:$D181,$F181)&gt;0),1,0)</f>
      </c>
    </row>
    <row r="182" spans="2:17" x14ac:dyDescent="0.25">
      <c r="B182" s="24">
        <v>4</v>
      </c>
      <c r="C182" s="22"/>
      <c r="D182" s="22"/>
      <c r="E182" s="22"/>
      <c r="F182" s="22"/>
      <c r="Q182">
        <f>IF(AND($E182="",COUNTA($C182:$D182,$F182)&gt;0),1,0)</f>
      </c>
    </row>
    <row r="183" spans="2:17" x14ac:dyDescent="0.25">
      <c r="B183" s="24">
        <v>5</v>
      </c>
      <c r="C183" s="22"/>
      <c r="D183" s="22"/>
      <c r="E183" s="22"/>
      <c r="F183" s="22"/>
      <c r="Q183">
        <f>IF(AND($E183="",COUNTA($C183:$D183,$F183)&gt;0),1,0)</f>
      </c>
    </row>
    <row r="184" spans="2:17" x14ac:dyDescent="0.25">
      <c r="B184" s="24">
        <v>6</v>
      </c>
      <c r="C184" s="22"/>
      <c r="D184" s="22"/>
      <c r="E184" s="22"/>
      <c r="F184" s="22"/>
      <c r="Q184">
        <f>IF(AND($E184="",COUNTA($C184:$D184,$F184)&gt;0),1,0)</f>
      </c>
    </row>
    <row r="185" spans="2:17" x14ac:dyDescent="0.25">
      <c r="B185" s="24">
        <v>7</v>
      </c>
      <c r="C185" s="22"/>
      <c r="D185" s="22"/>
      <c r="E185" s="22"/>
      <c r="F185" s="22"/>
      <c r="Q185">
        <f>IF(AND($E185="",COUNTA($C185:$D185,$F185)&gt;0),1,0)</f>
      </c>
    </row>
    <row r="186" spans="2:17" x14ac:dyDescent="0.25">
      <c r="B186" s="24">
        <v>8</v>
      </c>
      <c r="C186" s="22"/>
      <c r="D186" s="22"/>
      <c r="E186" s="22"/>
      <c r="F186" s="22"/>
      <c r="Q186">
        <f>IF(AND($E186="",COUNTA($C186:$D186,$F186)&gt;0),1,0)</f>
      </c>
    </row>
    <row r="188" spans="2:6" x14ac:dyDescent="0.25">
      <c r="B188" s="18" t="s">
        <v>44</v>
      </c>
      <c r="C188" s="19"/>
      <c r="D188" s="19"/>
      <c r="E188" s="5"/>
      <c r="F188" s="5"/>
    </row>
    <row r="189" ht="24" customHeight="1" spans="2:16" x14ac:dyDescent="0.25">
      <c r="B189" s="20" t="s">
        <v>67</v>
      </c>
      <c r="C189" s="21"/>
      <c r="D189" s="21"/>
      <c r="E189" s="21"/>
      <c r="F189" s="21"/>
      <c r="G189" s="4">
        <f>IFERROR(IF(AND($C$189="",$C$190=""),IF(COUNTA($C$188:$F$188,$E$191,$C$193:$F$200)+COUNTA($E$190,$C$191)&gt;0,"⚠ Pick an exercise for this card",""),IF(AND($C$189&lt;&gt;"",$C$190&lt;&gt;""),"⚠ Use the library OR a custom exercise, not both",IF(AND($C$190&lt;&gt;"",$E$190=""),"⚠ Pick a muscle group for the custom exercise",IF(COUNT($E$193:$E$200)=0,"⚠ Enter Goal Reps for at least one set",IF(SUM($Q$193:$Q$200)&gt;0,"⚠ A set is missing Goal Reps",IF(IF($C$191="",1=0,COUNTIF($P$7:$P$214,$C$191)&lt;2),"⚠ Superset "&amp;$C$191&amp;" needs 2+ exercises",IF($C$189&lt;&gt;"",IFERROR("✓ "&amp;INDEX('Exercise Library'!$C$2:$C$319,MATCH($C$189,'Exercise Library'!$B$2:$B$319,0))&amp;IF(INDEX('Exercise Library'!$D$2:$D$319,MATCH($C$189,'Exercise Library'!$B$2:$B$319,0))="Yes"," · demo video","")&amp;" · "&amp;COUNT($E$193:$E$200)&amp;" sets","⚠ Not in the library — use Custom"),"✓ Custom ("&amp;$E$190&amp;") · "&amp;COUNT($E$193:$E$200)&amp;" sets"))))))),"⚠ Check this row")</f>
      </c>
      <c r="P189">
        <f>IF(OR($C$189&lt;&gt;"",$C$190&lt;&gt;""),$C$191,"")</f>
      </c>
    </row>
    <row r="190" spans="2:6" x14ac:dyDescent="0.25">
      <c r="B190" s="18" t="s">
        <v>46</v>
      </c>
      <c r="C190" s="5"/>
      <c r="D190" s="5"/>
      <c r="E190" s="5"/>
      <c r="F190" s="18" t="s">
        <v>47</v>
      </c>
    </row>
    <row r="191" ht="22" customHeight="1" spans="2:6" x14ac:dyDescent="0.25">
      <c r="B191" s="18" t="s">
        <v>48</v>
      </c>
      <c r="C191" s="22"/>
      <c r="D191" s="18" t="s">
        <v>49</v>
      </c>
      <c r="E191" s="5"/>
      <c r="F191" s="5"/>
    </row>
    <row r="192" spans="2:6" x14ac:dyDescent="0.25">
      <c r="B192" s="23" t="s">
        <v>50</v>
      </c>
      <c r="C192" s="23" t="s">
        <v>51</v>
      </c>
      <c r="D192" s="23" t="s">
        <v>52</v>
      </c>
      <c r="E192" s="23" t="s">
        <v>53</v>
      </c>
      <c r="F192" s="23" t="s">
        <v>54</v>
      </c>
    </row>
    <row r="193" spans="2:17" x14ac:dyDescent="0.25">
      <c r="B193" s="24">
        <v>1</v>
      </c>
      <c r="C193" s="22"/>
      <c r="D193" s="22"/>
      <c r="E193" s="22"/>
      <c r="F193" s="22"/>
      <c r="Q193">
        <f>IF(AND($E193="",COUNTA($C193:$D193,$F193)&gt;0),1,0)</f>
      </c>
    </row>
    <row r="194" spans="2:17" x14ac:dyDescent="0.25">
      <c r="B194" s="24">
        <v>2</v>
      </c>
      <c r="C194" s="22"/>
      <c r="D194" s="22"/>
      <c r="E194" s="22"/>
      <c r="F194" s="22"/>
      <c r="Q194">
        <f>IF(AND($E194="",COUNTA($C194:$D194,$F194)&gt;0),1,0)</f>
      </c>
    </row>
    <row r="195" spans="2:17" x14ac:dyDescent="0.25">
      <c r="B195" s="24">
        <v>3</v>
      </c>
      <c r="C195" s="22"/>
      <c r="D195" s="22"/>
      <c r="E195" s="22"/>
      <c r="F195" s="22"/>
      <c r="Q195">
        <f>IF(AND($E195="",COUNTA($C195:$D195,$F195)&gt;0),1,0)</f>
      </c>
    </row>
    <row r="196" spans="2:17" x14ac:dyDescent="0.25">
      <c r="B196" s="24">
        <v>4</v>
      </c>
      <c r="C196" s="22"/>
      <c r="D196" s="22"/>
      <c r="E196" s="22"/>
      <c r="F196" s="22"/>
      <c r="Q196">
        <f>IF(AND($E196="",COUNTA($C196:$D196,$F196)&gt;0),1,0)</f>
      </c>
    </row>
    <row r="197" spans="2:17" x14ac:dyDescent="0.25">
      <c r="B197" s="24">
        <v>5</v>
      </c>
      <c r="C197" s="22"/>
      <c r="D197" s="22"/>
      <c r="E197" s="22"/>
      <c r="F197" s="22"/>
      <c r="Q197">
        <f>IF(AND($E197="",COUNTA($C197:$D197,$F197)&gt;0),1,0)</f>
      </c>
    </row>
    <row r="198" spans="2:17" x14ac:dyDescent="0.25">
      <c r="B198" s="24">
        <v>6</v>
      </c>
      <c r="C198" s="22"/>
      <c r="D198" s="22"/>
      <c r="E198" s="22"/>
      <c r="F198" s="22"/>
      <c r="Q198">
        <f>IF(AND($E198="",COUNTA($C198:$D198,$F198)&gt;0),1,0)</f>
      </c>
    </row>
    <row r="199" spans="2:17" x14ac:dyDescent="0.25">
      <c r="B199" s="24">
        <v>7</v>
      </c>
      <c r="C199" s="22"/>
      <c r="D199" s="22"/>
      <c r="E199" s="22"/>
      <c r="F199" s="22"/>
      <c r="Q199">
        <f>IF(AND($E199="",COUNTA($C199:$D199,$F199)&gt;0),1,0)</f>
      </c>
    </row>
    <row r="200" spans="2:17" x14ac:dyDescent="0.25">
      <c r="B200" s="24">
        <v>8</v>
      </c>
      <c r="C200" s="22"/>
      <c r="D200" s="22"/>
      <c r="E200" s="22"/>
      <c r="F200" s="22"/>
      <c r="Q200">
        <f>IF(AND($E200="",COUNTA($C200:$D200,$F200)&gt;0),1,0)</f>
      </c>
    </row>
    <row r="202" spans="2:6" x14ac:dyDescent="0.25">
      <c r="B202" s="18" t="s">
        <v>44</v>
      </c>
      <c r="C202" s="19"/>
      <c r="D202" s="19"/>
      <c r="E202" s="5"/>
      <c r="F202" s="5"/>
    </row>
    <row r="203" ht="24" customHeight="1" spans="2:16" x14ac:dyDescent="0.25">
      <c r="B203" s="20" t="s">
        <v>68</v>
      </c>
      <c r="C203" s="21"/>
      <c r="D203" s="21"/>
      <c r="E203" s="21"/>
      <c r="F203" s="21"/>
      <c r="G203" s="4">
        <f>IFERROR(IF(AND($C$203="",$C$204=""),IF(COUNTA($C$202:$F$202,$E$205,$C$207:$F$214)+COUNTA($E$204,$C$205)&gt;0,"⚠ Pick an exercise for this card",""),IF(AND($C$203&lt;&gt;"",$C$204&lt;&gt;""),"⚠ Use the library OR a custom exercise, not both",IF(AND($C$204&lt;&gt;"",$E$204=""),"⚠ Pick a muscle group for the custom exercise",IF(COUNT($E$207:$E$214)=0,"⚠ Enter Goal Reps for at least one set",IF(SUM($Q$207:$Q$214)&gt;0,"⚠ A set is missing Goal Reps",IF(IF($C$205="",1=0,COUNTIF($P$7:$P$214,$C$205)&lt;2),"⚠ Superset "&amp;$C$205&amp;" needs 2+ exercises",IF($C$203&lt;&gt;"",IFERROR("✓ "&amp;INDEX('Exercise Library'!$C$2:$C$319,MATCH($C$203,'Exercise Library'!$B$2:$B$319,0))&amp;IF(INDEX('Exercise Library'!$D$2:$D$319,MATCH($C$203,'Exercise Library'!$B$2:$B$319,0))="Yes"," · demo video","")&amp;" · "&amp;COUNT($E$207:$E$214)&amp;" sets","⚠ Not in the library — use Custom"),"✓ Custom ("&amp;$E$204&amp;") · "&amp;COUNT($E$207:$E$214)&amp;" sets"))))))),"⚠ Check this row")</f>
      </c>
      <c r="P203">
        <f>IF(OR($C$203&lt;&gt;"",$C$204&lt;&gt;""),$C$205,"")</f>
      </c>
    </row>
    <row r="204" spans="2:6" x14ac:dyDescent="0.25">
      <c r="B204" s="18" t="s">
        <v>46</v>
      </c>
      <c r="C204" s="5"/>
      <c r="D204" s="5"/>
      <c r="E204" s="5"/>
      <c r="F204" s="18" t="s">
        <v>47</v>
      </c>
    </row>
    <row r="205" ht="22" customHeight="1" spans="2:6" x14ac:dyDescent="0.25">
      <c r="B205" s="18" t="s">
        <v>48</v>
      </c>
      <c r="C205" s="22"/>
      <c r="D205" s="18" t="s">
        <v>49</v>
      </c>
      <c r="E205" s="5"/>
      <c r="F205" s="5"/>
    </row>
    <row r="206" spans="2:6" x14ac:dyDescent="0.25">
      <c r="B206" s="23" t="s">
        <v>50</v>
      </c>
      <c r="C206" s="23" t="s">
        <v>51</v>
      </c>
      <c r="D206" s="23" t="s">
        <v>52</v>
      </c>
      <c r="E206" s="23" t="s">
        <v>53</v>
      </c>
      <c r="F206" s="23" t="s">
        <v>54</v>
      </c>
    </row>
    <row r="207" spans="2:17" x14ac:dyDescent="0.25">
      <c r="B207" s="24">
        <v>1</v>
      </c>
      <c r="C207" s="22"/>
      <c r="D207" s="22"/>
      <c r="E207" s="22"/>
      <c r="F207" s="22"/>
      <c r="Q207">
        <f>IF(AND($E207="",COUNTA($C207:$D207,$F207)&gt;0),1,0)</f>
      </c>
    </row>
    <row r="208" spans="2:17" x14ac:dyDescent="0.25">
      <c r="B208" s="24">
        <v>2</v>
      </c>
      <c r="C208" s="22"/>
      <c r="D208" s="22"/>
      <c r="E208" s="22"/>
      <c r="F208" s="22"/>
      <c r="Q208">
        <f>IF(AND($E208="",COUNTA($C208:$D208,$F208)&gt;0),1,0)</f>
      </c>
    </row>
    <row r="209" spans="2:17" x14ac:dyDescent="0.25">
      <c r="B209" s="24">
        <v>3</v>
      </c>
      <c r="C209" s="22"/>
      <c r="D209" s="22"/>
      <c r="E209" s="22"/>
      <c r="F209" s="22"/>
      <c r="Q209">
        <f>IF(AND($E209="",COUNTA($C209:$D209,$F209)&gt;0),1,0)</f>
      </c>
    </row>
    <row r="210" spans="2:17" x14ac:dyDescent="0.25">
      <c r="B210" s="24">
        <v>4</v>
      </c>
      <c r="C210" s="22"/>
      <c r="D210" s="22"/>
      <c r="E210" s="22"/>
      <c r="F210" s="22"/>
      <c r="Q210">
        <f>IF(AND($E210="",COUNTA($C210:$D210,$F210)&gt;0),1,0)</f>
      </c>
    </row>
    <row r="211" spans="2:17" x14ac:dyDescent="0.25">
      <c r="B211" s="24">
        <v>5</v>
      </c>
      <c r="C211" s="22"/>
      <c r="D211" s="22"/>
      <c r="E211" s="22"/>
      <c r="F211" s="22"/>
      <c r="Q211">
        <f>IF(AND($E211="",COUNTA($C211:$D211,$F211)&gt;0),1,0)</f>
      </c>
    </row>
    <row r="212" spans="2:17" x14ac:dyDescent="0.25">
      <c r="B212" s="24">
        <v>6</v>
      </c>
      <c r="C212" s="22"/>
      <c r="D212" s="22"/>
      <c r="E212" s="22"/>
      <c r="F212" s="22"/>
      <c r="Q212">
        <f>IF(AND($E212="",COUNTA($C212:$D212,$F212)&gt;0),1,0)</f>
      </c>
    </row>
    <row r="213" spans="2:17" x14ac:dyDescent="0.25">
      <c r="B213" s="24">
        <v>7</v>
      </c>
      <c r="C213" s="22"/>
      <c r="D213" s="22"/>
      <c r="E213" s="22"/>
      <c r="F213" s="22"/>
      <c r="Q213">
        <f>IF(AND($E213="",COUNTA($C213:$D213,$F213)&gt;0),1,0)</f>
      </c>
    </row>
    <row r="214" spans="2:17" x14ac:dyDescent="0.25">
      <c r="B214" s="24">
        <v>8</v>
      </c>
      <c r="C214" s="22"/>
      <c r="D214" s="22"/>
      <c r="E214" s="22"/>
      <c r="F214" s="22"/>
      <c r="Q214">
        <f>IF(AND($E214="",COUNTA($C214:$D214,$F214)&gt;0),1,0)</f>
      </c>
    </row>
  </sheetData>
  <mergeCells count="78">
    <mergeCell ref="A1:G1"/>
    <mergeCell ref="C3:F3"/>
    <mergeCell ref="C4:F4"/>
    <mergeCell ref="C6:D6"/>
    <mergeCell ref="E6:F6"/>
    <mergeCell ref="C7:F7"/>
    <mergeCell ref="C8:D8"/>
    <mergeCell ref="E9:F9"/>
    <mergeCell ref="C20:D20"/>
    <mergeCell ref="E20:F20"/>
    <mergeCell ref="C21:F21"/>
    <mergeCell ref="C22:D22"/>
    <mergeCell ref="E23:F23"/>
    <mergeCell ref="C34:D34"/>
    <mergeCell ref="E34:F34"/>
    <mergeCell ref="C35:F35"/>
    <mergeCell ref="C36:D36"/>
    <mergeCell ref="E37:F37"/>
    <mergeCell ref="C48:D48"/>
    <mergeCell ref="E48:F48"/>
    <mergeCell ref="C49:F49"/>
    <mergeCell ref="C50:D50"/>
    <mergeCell ref="E51:F51"/>
    <mergeCell ref="C62:D62"/>
    <mergeCell ref="E62:F62"/>
    <mergeCell ref="C63:F63"/>
    <mergeCell ref="C64:D64"/>
    <mergeCell ref="E65:F65"/>
    <mergeCell ref="C76:D76"/>
    <mergeCell ref="E76:F76"/>
    <mergeCell ref="C77:F77"/>
    <mergeCell ref="C78:D78"/>
    <mergeCell ref="E79:F79"/>
    <mergeCell ref="C90:D90"/>
    <mergeCell ref="E90:F90"/>
    <mergeCell ref="C91:F91"/>
    <mergeCell ref="C92:D92"/>
    <mergeCell ref="E93:F93"/>
    <mergeCell ref="C104:D104"/>
    <mergeCell ref="E104:F104"/>
    <mergeCell ref="C105:F105"/>
    <mergeCell ref="C106:D106"/>
    <mergeCell ref="E107:F107"/>
    <mergeCell ref="C118:D118"/>
    <mergeCell ref="E118:F118"/>
    <mergeCell ref="C119:F119"/>
    <mergeCell ref="C120:D120"/>
    <mergeCell ref="E121:F121"/>
    <mergeCell ref="C132:D132"/>
    <mergeCell ref="E132:F132"/>
    <mergeCell ref="C133:F133"/>
    <mergeCell ref="C134:D134"/>
    <mergeCell ref="E135:F135"/>
    <mergeCell ref="C146:D146"/>
    <mergeCell ref="E146:F146"/>
    <mergeCell ref="C147:F147"/>
    <mergeCell ref="C148:D148"/>
    <mergeCell ref="E149:F149"/>
    <mergeCell ref="C160:D160"/>
    <mergeCell ref="E160:F160"/>
    <mergeCell ref="C161:F161"/>
    <mergeCell ref="C162:D162"/>
    <mergeCell ref="E163:F163"/>
    <mergeCell ref="C174:D174"/>
    <mergeCell ref="E174:F174"/>
    <mergeCell ref="C175:F175"/>
    <mergeCell ref="C176:D176"/>
    <mergeCell ref="E177:F177"/>
    <mergeCell ref="C188:D188"/>
    <mergeCell ref="E188:F188"/>
    <mergeCell ref="C189:F189"/>
    <mergeCell ref="C190:D190"/>
    <mergeCell ref="E191:F191"/>
    <mergeCell ref="C202:D202"/>
    <mergeCell ref="E202:F202"/>
    <mergeCell ref="C203:F203"/>
    <mergeCell ref="C204:D204"/>
    <mergeCell ref="E205:F205"/>
  </mergeCells>
  <conditionalFormatting sqref="A1:G1">
    <cfRule type="expression" dxfId="57" priority="1">
      <formula>$O$1="FILL"</formula>
    </cfRule>
    <cfRule type="expression" dxfId="58" priority="2">
      <formula>$O$1="SKIP"</formula>
    </cfRule>
    <cfRule type="expression" dxfId="59" priority="3">
      <formula>$O$1=""</formula>
    </cfRule>
  </conditionalFormatting>
  <conditionalFormatting sqref="G3:G214">
    <cfRule type="expression" dxfId="60" priority="1">
      <formula>LEFT(G3,1)="⚠"</formula>
    </cfRule>
    <cfRule type="expression" dxfId="61" priority="2">
      <formula>LEFT(G3,1)="✓"</formula>
    </cfRule>
  </conditionalFormatting>
  <conditionalFormatting sqref="C3:F214">
    <cfRule type="expression" dxfId="62" priority="1">
      <formula>$O$1="SKIP"</formula>
    </cfRule>
  </conditionalFormatting>
  <dataValidations count="121">
    <dataValidation type="list" allowBlank="1" showInputMessage="1" prompt="Pick from the RepLab exercise library (type to search). Library exercises come with demo videos." showErrorMessage="1" errorStyle="stop" errorTitle="Pick from the list" error="Choose one of the options in the dropdown." sqref="C105">
      <formula1>'Exercise Library'!$B$2:$B$319</formula1>
    </dataValidation>
    <dataValidation type="textLength" operator="lessThanOrEqual" allowBlank="1" showErrorMessage="1" error="200 characters or fewer." sqref="C106">
      <formula1>200</formula1>
    </dataValidation>
    <dataValidation type="list" allowBlank="1" showInputMessage="1" prompt="Same letter = same superset" showErrorMessage="1" errorStyle="stop" errorTitle="Pick from the list" error="Choose one of the options in the dropdown." sqref="C107">
      <formula1>Lists!$E$2:$E$11</formula1>
    </dataValidation>
    <dataValidation type="list" allowBlank="1" showErrorMessage="1" errorStyle="stop" errorTitle="Pick from the list" error="Choose one of the options in the dropdown." sqref="C109:C11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19">
      <formula1>'Exercise Library'!$B$2:$B$319</formula1>
    </dataValidation>
    <dataValidation type="list" allowBlank="1" showErrorMessage="1" errorStyle="stop" errorTitle="Pick from the list" error="Choose one of the options in the dropdown." sqref="C11:C18">
      <formula1>Lists!$B$2:$B$9</formula1>
    </dataValidation>
    <dataValidation type="textLength" operator="lessThanOrEqual" allowBlank="1" showErrorMessage="1" error="200 characters or fewer." sqref="C120">
      <formula1>200</formula1>
    </dataValidation>
    <dataValidation type="list" allowBlank="1" showInputMessage="1" prompt="Same letter = same superset" showErrorMessage="1" errorStyle="stop" errorTitle="Pick from the list" error="Choose one of the options in the dropdown." sqref="C121">
      <formula1>Lists!$E$2:$E$11</formula1>
    </dataValidation>
    <dataValidation type="list" allowBlank="1" showErrorMessage="1" errorStyle="stop" errorTitle="Pick from the list" error="Choose one of the options in the dropdown." sqref="C123:C13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33">
      <formula1>'Exercise Library'!$B$2:$B$319</formula1>
    </dataValidation>
    <dataValidation type="textLength" operator="lessThanOrEqual" allowBlank="1" showErrorMessage="1" error="200 characters or fewer." sqref="C134">
      <formula1>200</formula1>
    </dataValidation>
    <dataValidation type="list" allowBlank="1" showInputMessage="1" prompt="Same letter = same superset" showErrorMessage="1" errorStyle="stop" errorTitle="Pick from the list" error="Choose one of the options in the dropdown." sqref="C135">
      <formula1>Lists!$E$2:$E$11</formula1>
    </dataValidation>
    <dataValidation type="list" allowBlank="1" showErrorMessage="1" errorStyle="stop" errorTitle="Pick from the list" error="Choose one of the options in the dropdown." sqref="C137:C14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47">
      <formula1>'Exercise Library'!$B$2:$B$319</formula1>
    </dataValidation>
    <dataValidation type="textLength" operator="lessThanOrEqual" allowBlank="1" showErrorMessage="1" error="200 characters or fewer." sqref="C148">
      <formula1>200</formula1>
    </dataValidation>
    <dataValidation type="list" allowBlank="1" showInputMessage="1" prompt="Same letter = same superset" showErrorMessage="1" errorStyle="stop" errorTitle="Pick from the list" error="Choose one of the options in the dropdown." sqref="C149">
      <formula1>Lists!$E$2:$E$11</formula1>
    </dataValidation>
    <dataValidation type="list" allowBlank="1" showErrorMessage="1" errorStyle="stop" errorTitle="Pick from the list" error="Choose one of the options in the dropdown." sqref="C151:C158">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61">
      <formula1>'Exercise Library'!$B$2:$B$319</formula1>
    </dataValidation>
    <dataValidation type="textLength" operator="lessThanOrEqual" allowBlank="1" showErrorMessage="1" error="200 characters or fewer." sqref="C162">
      <formula1>200</formula1>
    </dataValidation>
    <dataValidation type="list" allowBlank="1" showInputMessage="1" prompt="Same letter = same superset" showErrorMessage="1" errorStyle="stop" errorTitle="Pick from the list" error="Choose one of the options in the dropdown." sqref="C163">
      <formula1>Lists!$E$2:$E$11</formula1>
    </dataValidation>
    <dataValidation type="list" allowBlank="1" showErrorMessage="1" errorStyle="stop" errorTitle="Pick from the list" error="Choose one of the options in the dropdown." sqref="C165:C172">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75">
      <formula1>'Exercise Library'!$B$2:$B$319</formula1>
    </dataValidation>
    <dataValidation type="textLength" operator="lessThanOrEqual" allowBlank="1" showErrorMessage="1" error="200 characters or fewer." sqref="C176">
      <formula1>200</formula1>
    </dataValidation>
    <dataValidation type="list" allowBlank="1" showInputMessage="1" prompt="Same letter = same superset" showErrorMessage="1" errorStyle="stop" errorTitle="Pick from the list" error="Choose one of the options in the dropdown." sqref="C177">
      <formula1>Lists!$E$2:$E$11</formula1>
    </dataValidation>
    <dataValidation type="list" allowBlank="1" showErrorMessage="1" errorStyle="stop" errorTitle="Pick from the list" error="Choose one of the options in the dropdown." sqref="C179:C18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89">
      <formula1>'Exercise Library'!$B$2:$B$319</formula1>
    </dataValidation>
    <dataValidation type="textLength" operator="lessThanOrEqual" allowBlank="1" showErrorMessage="1" error="200 characters or fewer." sqref="C190">
      <formula1>200</formula1>
    </dataValidation>
    <dataValidation type="list" allowBlank="1" showInputMessage="1" prompt="Same letter = same superset" showErrorMessage="1" errorStyle="stop" errorTitle="Pick from the list" error="Choose one of the options in the dropdown." sqref="C191">
      <formula1>Lists!$E$2:$E$11</formula1>
    </dataValidation>
    <dataValidation type="list" allowBlank="1" showErrorMessage="1" errorStyle="stop" errorTitle="Pick from the list" error="Choose one of the options in the dropdown." sqref="C193:C20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03">
      <formula1>'Exercise Library'!$B$2:$B$319</formula1>
    </dataValidation>
    <dataValidation type="textLength" operator="lessThanOrEqual" allowBlank="1" showErrorMessage="1" error="200 characters or fewer." sqref="C204">
      <formula1>200</formula1>
    </dataValidation>
    <dataValidation type="list" allowBlank="1" showInputMessage="1" prompt="Same letter = same superset" showErrorMessage="1" errorStyle="stop" errorTitle="Pick from the list" error="Choose one of the options in the dropdown." sqref="C205">
      <formula1>Lists!$E$2:$E$11</formula1>
    </dataValidation>
    <dataValidation type="list" allowBlank="1" showErrorMessage="1" errorStyle="stop" errorTitle="Pick from the list" error="Choose one of the options in the dropdown." sqref="C207:C21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1">
      <formula1>'Exercise Library'!$B$2:$B$319</formula1>
    </dataValidation>
    <dataValidation type="textLength" operator="lessThanOrEqual" allowBlank="1" showErrorMessage="1" error="200 characters or fewer." sqref="C22">
      <formula1>200</formula1>
    </dataValidation>
    <dataValidation type="list" allowBlank="1" showInputMessage="1" prompt="Same letter = same superset" showErrorMessage="1" errorStyle="stop" errorTitle="Pick from the list" error="Choose one of the options in the dropdown." sqref="C23">
      <formula1>Lists!$E$2:$E$11</formula1>
    </dataValidation>
    <dataValidation type="list" allowBlank="1" showErrorMessage="1" errorStyle="stop" errorTitle="Pick from the list" error="Choose one of the options in the dropdown." sqref="C25:C32">
      <formula1>Lists!$B$2:$B$9</formula1>
    </dataValidation>
    <dataValidation type="textLength" operator="lessThanOrEqual" allowBlank="1" showErrorMessage="1" error="200 characters or fewer." sqref="C3">
      <formula1>200</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35">
      <formula1>'Exercise Library'!$B$2:$B$319</formula1>
    </dataValidation>
    <dataValidation type="textLength" operator="lessThanOrEqual" allowBlank="1" showErrorMessage="1" error="200 characters or fewer." sqref="C36">
      <formula1>200</formula1>
    </dataValidation>
    <dataValidation type="list" allowBlank="1" showInputMessage="1" prompt="Same letter = same superset" showErrorMessage="1" errorStyle="stop" errorTitle="Pick from the list" error="Choose one of the options in the dropdown." sqref="C37">
      <formula1>Lists!$E$2:$E$11</formula1>
    </dataValidation>
    <dataValidation type="list" allowBlank="1" showErrorMessage="1" errorStyle="stop" errorTitle="Pick from the list" error="Choose one of the options in the dropdown." sqref="C39:C4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49">
      <formula1>'Exercise Library'!$B$2:$B$319</formula1>
    </dataValidation>
    <dataValidation type="textLength" operator="lessThanOrEqual" allowBlank="1" showErrorMessage="1" error="200 characters or fewer." sqref="C50">
      <formula1>200</formula1>
    </dataValidation>
    <dataValidation type="list" allowBlank="1" showInputMessage="1" prompt="Same letter = same superset" showErrorMessage="1" errorStyle="stop" errorTitle="Pick from the list" error="Choose one of the options in the dropdown." sqref="C51">
      <formula1>Lists!$E$2:$E$11</formula1>
    </dataValidation>
    <dataValidation type="list" allowBlank="1" showErrorMessage="1" errorStyle="stop" errorTitle="Pick from the list" error="Choose one of the options in the dropdown." sqref="C53:C6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63">
      <formula1>'Exercise Library'!$B$2:$B$319</formula1>
    </dataValidation>
    <dataValidation type="textLength" operator="lessThanOrEqual" allowBlank="1" showErrorMessage="1" error="200 characters or fewer." sqref="C64">
      <formula1>200</formula1>
    </dataValidation>
    <dataValidation type="list" allowBlank="1" showInputMessage="1" prompt="Same letter = same superset" showErrorMessage="1" errorStyle="stop" errorTitle="Pick from the list" error="Choose one of the options in the dropdown." sqref="C65">
      <formula1>Lists!$E$2:$E$11</formula1>
    </dataValidation>
    <dataValidation type="list" allowBlank="1" showErrorMessage="1" errorStyle="stop" errorTitle="Pick from the list" error="Choose one of the options in the dropdown." sqref="C67:C7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
      <formula1>'Exercise Library'!$B$2:$B$319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7">
      <formula1>'Exercise Library'!$B$2:$B$319</formula1>
    </dataValidation>
    <dataValidation type="textLength" operator="lessThanOrEqual" allowBlank="1" showErrorMessage="1" error="200 characters or fewer." sqref="C78">
      <formula1>200</formula1>
    </dataValidation>
    <dataValidation type="list" allowBlank="1" showInputMessage="1" prompt="Same letter = same superset" showErrorMessage="1" errorStyle="stop" errorTitle="Pick from the list" error="Choose one of the options in the dropdown." sqref="C79">
      <formula1>Lists!$E$2:$E$11</formula1>
    </dataValidation>
    <dataValidation type="textLength" operator="lessThanOrEqual" allowBlank="1" showErrorMessage="1" error="200 characters or fewer." sqref="C8">
      <formula1>200</formula1>
    </dataValidation>
    <dataValidation type="list" allowBlank="1" showErrorMessage="1" errorStyle="stop" errorTitle="Pick from the list" error="Choose one of the options in the dropdown." sqref="C81:C88">
      <formula1>Lists!$B$2:$B$9</formula1>
    </dataValidation>
    <dataValidation type="list" allowBlank="1" showInputMessage="1" prompt="Same letter = same superset" showErrorMessage="1" errorStyle="stop" errorTitle="Pick from the list" error="Choose one of the options in the dropdown." sqref="C9">
      <formula1>Lists!$E$2:$E$11</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91">
      <formula1>'Exercise Library'!$B$2:$B$319</formula1>
    </dataValidation>
    <dataValidation type="textLength" operator="lessThanOrEqual" allowBlank="1" showErrorMessage="1" error="200 characters or fewer." sqref="C92">
      <formula1>200</formula1>
    </dataValidation>
    <dataValidation type="list" allowBlank="1" showInputMessage="1" prompt="Same letter = same superset" showErrorMessage="1" errorStyle="stop" errorTitle="Pick from the list" error="Choose one of the options in the dropdown." sqref="C93">
      <formula1>Lists!$E$2:$E$11</formula1>
    </dataValidation>
    <dataValidation type="list" allowBlank="1" showErrorMessage="1" errorStyle="stop" errorTitle="Pick from the list" error="Choose one of the options in the dropdown." sqref="C95:C102">
      <formula1>Lists!$B$2:$B$9</formula1>
    </dataValidation>
    <dataValidation type="decimal" allowBlank="1" showErrorMessage="1" error="Goal weight: a number from 0 to 2000 (lbs)." sqref="D109:D116">
      <formula1>0</formula1>
      <formula2>2000</formula2>
    </dataValidation>
    <dataValidation type="decimal" allowBlank="1" showErrorMessage="1" error="Goal weight: a number from 0 to 2000 (lbs)." sqref="D11:D18">
      <formula1>0</formula1>
      <formula2>2000</formula2>
    </dataValidation>
    <dataValidation type="decimal" allowBlank="1" showErrorMessage="1" error="Goal weight: a number from 0 to 2000 (lbs)." sqref="D123:D130">
      <formula1>0</formula1>
      <formula2>2000</formula2>
    </dataValidation>
    <dataValidation type="decimal" allowBlank="1" showErrorMessage="1" error="Goal weight: a number from 0 to 2000 (lbs)." sqref="D137:D144">
      <formula1>0</formula1>
      <formula2>2000</formula2>
    </dataValidation>
    <dataValidation type="decimal" allowBlank="1" showErrorMessage="1" error="Goal weight: a number from 0 to 2000 (lbs)." sqref="D151:D158">
      <formula1>0</formula1>
      <formula2>2000</formula2>
    </dataValidation>
    <dataValidation type="decimal" allowBlank="1" showErrorMessage="1" error="Goal weight: a number from 0 to 2000 (lbs)." sqref="D165:D172">
      <formula1>0</formula1>
      <formula2>2000</formula2>
    </dataValidation>
    <dataValidation type="decimal" allowBlank="1" showErrorMessage="1" error="Goal weight: a number from 0 to 2000 (lbs)." sqref="D179:D186">
      <formula1>0</formula1>
      <formula2>2000</formula2>
    </dataValidation>
    <dataValidation type="decimal" allowBlank="1" showErrorMessage="1" error="Goal weight: a number from 0 to 2000 (lbs)." sqref="D193:D200">
      <formula1>0</formula1>
      <formula2>2000</formula2>
    </dataValidation>
    <dataValidation type="decimal" allowBlank="1" showErrorMessage="1" error="Goal weight: a number from 0 to 2000 (lbs)." sqref="D207:D214">
      <formula1>0</formula1>
      <formula2>2000</formula2>
    </dataValidation>
    <dataValidation type="decimal" allowBlank="1" showErrorMessage="1" error="Goal weight: a number from 0 to 2000 (lbs)." sqref="D25:D32">
      <formula1>0</formula1>
      <formula2>2000</formula2>
    </dataValidation>
    <dataValidation type="decimal" allowBlank="1" showErrorMessage="1" error="Goal weight: a number from 0 to 2000 (lbs)." sqref="D39:D46">
      <formula1>0</formula1>
      <formula2>2000</formula2>
    </dataValidation>
    <dataValidation type="decimal" allowBlank="1" showErrorMessage="1" error="Goal weight: a number from 0 to 2000 (lbs)." sqref="D53:D60">
      <formula1>0</formula1>
      <formula2>2000</formula2>
    </dataValidation>
    <dataValidation type="decimal" allowBlank="1" showErrorMessage="1" error="Goal weight: a number from 0 to 2000 (lbs)." sqref="D67:D74">
      <formula1>0</formula1>
      <formula2>2000</formula2>
    </dataValidation>
    <dataValidation type="decimal" allowBlank="1" showErrorMessage="1" error="Goal weight: a number from 0 to 2000 (lbs)." sqref="D81:D88">
      <formula1>0</formula1>
      <formula2>2000</formula2>
    </dataValidation>
    <dataValidation type="decimal" allowBlank="1" showErrorMessage="1" error="Goal weight: a number from 0 to 2000 (lbs)." sqref="D95:D102">
      <formula1>0</formula1>
      <formula2>2000</formula2>
    </dataValidation>
    <dataValidation type="list" allowBlank="1" showInputMessage="1" prompt="Muscle group for the custom exercise" showErrorMessage="1" errorStyle="stop" errorTitle="Pick from the list" error="Choose one of the options in the dropdown." sqref="E106">
      <formula1>Lists!$D$2:$D$15</formula1>
    </dataValidation>
    <dataValidation type="whole" allowBlank="1" showErrorMessage="1" error="Goal reps: a whole number from 0 to 100." sqref="E109:E116">
      <formula1>0</formula1>
      <formula2>100</formula2>
    </dataValidation>
    <dataValidation type="whole" allowBlank="1" showErrorMessage="1" error="Goal reps: a whole number from 0 to 100." sqref="E11:E18">
      <formula1>0</formula1>
      <formula2>100</formula2>
    </dataValidation>
    <dataValidation type="list" allowBlank="1" showInputMessage="1" prompt="Muscle group for the custom exercise" showErrorMessage="1" errorStyle="stop" errorTitle="Pick from the list" error="Choose one of the options in the dropdown." sqref="E120">
      <formula1>Lists!$D$2:$D$15</formula1>
    </dataValidation>
    <dataValidation type="whole" allowBlank="1" showErrorMessage="1" error="Goal reps: a whole number from 0 to 100." sqref="E123:E130">
      <formula1>0</formula1>
      <formula2>100</formula2>
    </dataValidation>
    <dataValidation type="list" allowBlank="1" showInputMessage="1" prompt="Muscle group for the custom exercise" showErrorMessage="1" errorStyle="stop" errorTitle="Pick from the list" error="Choose one of the options in the dropdown." sqref="E134">
      <formula1>Lists!$D$2:$D$15</formula1>
    </dataValidation>
    <dataValidation type="whole" allowBlank="1" showErrorMessage="1" error="Goal reps: a whole number from 0 to 100." sqref="E137:E144">
      <formula1>0</formula1>
      <formula2>100</formula2>
    </dataValidation>
    <dataValidation type="list" allowBlank="1" showInputMessage="1" prompt="Muscle group for the custom exercise" showErrorMessage="1" errorStyle="stop" errorTitle="Pick from the list" error="Choose one of the options in the dropdown." sqref="E148">
      <formula1>Lists!$D$2:$D$15</formula1>
    </dataValidation>
    <dataValidation type="whole" allowBlank="1" showErrorMessage="1" error="Goal reps: a whole number from 0 to 100." sqref="E151:E158">
      <formula1>0</formula1>
      <formula2>100</formula2>
    </dataValidation>
    <dataValidation type="list" allowBlank="1" showInputMessage="1" prompt="Muscle group for the custom exercise" showErrorMessage="1" errorStyle="stop" errorTitle="Pick from the list" error="Choose one of the options in the dropdown." sqref="E162">
      <formula1>Lists!$D$2:$D$15</formula1>
    </dataValidation>
    <dataValidation type="whole" allowBlank="1" showErrorMessage="1" error="Goal reps: a whole number from 0 to 100." sqref="E165:E172">
      <formula1>0</formula1>
      <formula2>100</formula2>
    </dataValidation>
    <dataValidation type="list" allowBlank="1" showInputMessage="1" prompt="Muscle group for the custom exercise" showErrorMessage="1" errorStyle="stop" errorTitle="Pick from the list" error="Choose one of the options in the dropdown." sqref="E176">
      <formula1>Lists!$D$2:$D$15</formula1>
    </dataValidation>
    <dataValidation type="whole" allowBlank="1" showErrorMessage="1" error="Goal reps: a whole number from 0 to 100." sqref="E179:E186">
      <formula1>0</formula1>
      <formula2>100</formula2>
    </dataValidation>
    <dataValidation type="list" allowBlank="1" showInputMessage="1" prompt="Muscle group for the custom exercise" showErrorMessage="1" errorStyle="stop" errorTitle="Pick from the list" error="Choose one of the options in the dropdown." sqref="E190">
      <formula1>Lists!$D$2:$D$15</formula1>
    </dataValidation>
    <dataValidation type="whole" allowBlank="1" showErrorMessage="1" error="Goal reps: a whole number from 0 to 100." sqref="E193:E200">
      <formula1>0</formula1>
      <formula2>100</formula2>
    </dataValidation>
    <dataValidation type="list" allowBlank="1" showInputMessage="1" prompt="Muscle group for the custom exercise" showErrorMessage="1" errorStyle="stop" errorTitle="Pick from the list" error="Choose one of the options in the dropdown." sqref="E204">
      <formula1>Lists!$D$2:$D$15</formula1>
    </dataValidation>
    <dataValidation type="whole" allowBlank="1" showErrorMessage="1" error="Goal reps: a whole number from 0 to 100." sqref="E207:E214">
      <formula1>0</formula1>
      <formula2>100</formula2>
    </dataValidation>
    <dataValidation type="list" allowBlank="1" showInputMessage="1" prompt="Muscle group for the custom exercise" showErrorMessage="1" errorStyle="stop" errorTitle="Pick from the list" error="Choose one of the options in the dropdown." sqref="E22">
      <formula1>Lists!$D$2:$D$15</formula1>
    </dataValidation>
    <dataValidation type="whole" allowBlank="1" showErrorMessage="1" error="Goal reps: a whole number from 0 to 100." sqref="E25:E32">
      <formula1>0</formula1>
      <formula2>100</formula2>
    </dataValidation>
    <dataValidation type="list" allowBlank="1" showInputMessage="1" prompt="Muscle group for the custom exercise" showErrorMessage="1" errorStyle="stop" errorTitle="Pick from the list" error="Choose one of the options in the dropdown." sqref="E36">
      <formula1>Lists!$D$2:$D$15</formula1>
    </dataValidation>
    <dataValidation type="whole" allowBlank="1" showErrorMessage="1" error="Goal reps: a whole number from 0 to 100." sqref="E39:E46">
      <formula1>0</formula1>
      <formula2>100</formula2>
    </dataValidation>
    <dataValidation type="list" allowBlank="1" showInputMessage="1" prompt="Muscle group for the custom exercise" showErrorMessage="1" errorStyle="stop" errorTitle="Pick from the list" error="Choose one of the options in the dropdown." sqref="E50">
      <formula1>Lists!$D$2:$D$15</formula1>
    </dataValidation>
    <dataValidation type="whole" allowBlank="1" showErrorMessage="1" error="Goal reps: a whole number from 0 to 100." sqref="E53:E60">
      <formula1>0</formula1>
      <formula2>100</formula2>
    </dataValidation>
    <dataValidation type="list" allowBlank="1" showInputMessage="1" prompt="Muscle group for the custom exercise" showErrorMessage="1" errorStyle="stop" errorTitle="Pick from the list" error="Choose one of the options in the dropdown." sqref="E64">
      <formula1>Lists!$D$2:$D$15</formula1>
    </dataValidation>
    <dataValidation type="whole" allowBlank="1" showErrorMessage="1" error="Goal reps: a whole number from 0 to 100." sqref="E67:E74">
      <formula1>0</formula1>
      <formula2>100</formula2>
    </dataValidation>
    <dataValidation type="list" allowBlank="1" showInputMessage="1" prompt="Muscle group for the custom exercise" showErrorMessage="1" errorStyle="stop" errorTitle="Pick from the list" error="Choose one of the options in the dropdown." sqref="E78">
      <formula1>Lists!$D$2:$D$15</formula1>
    </dataValidation>
    <dataValidation type="list" allowBlank="1" showInputMessage="1" prompt="Muscle group for the custom exercise" showErrorMessage="1" errorStyle="stop" errorTitle="Pick from the list" error="Choose one of the options in the dropdown." sqref="E8">
      <formula1>Lists!$D$2:$D$15</formula1>
    </dataValidation>
    <dataValidation type="whole" allowBlank="1" showErrorMessage="1" error="Goal reps: a whole number from 0 to 100." sqref="E81:E88">
      <formula1>0</formula1>
      <formula2>100</formula2>
    </dataValidation>
    <dataValidation type="list" allowBlank="1" showInputMessage="1" prompt="Muscle group for the custom exercise" showErrorMessage="1" errorStyle="stop" errorTitle="Pick from the list" error="Choose one of the options in the dropdown." sqref="E92">
      <formula1>Lists!$D$2:$D$15</formula1>
    </dataValidation>
    <dataValidation type="whole" allowBlank="1" showErrorMessage="1" error="Goal reps: a whole number from 0 to 100." sqref="E95:E102">
      <formula1>0</formula1>
      <formula2>100</formula2>
    </dataValidation>
    <dataValidation type="textLength" operator="lessThanOrEqual" allowBlank="1" showErrorMessage="1" error="Keep the rep range short, e.g. 8-12." sqref="F109:F116">
      <formula1>20</formula1>
    </dataValidation>
    <dataValidation type="textLength" operator="lessThanOrEqual" allowBlank="1" showErrorMessage="1" error="Keep the rep range short, e.g. 8-12." sqref="F11:F18">
      <formula1>20</formula1>
    </dataValidation>
    <dataValidation type="textLength" operator="lessThanOrEqual" allowBlank="1" showErrorMessage="1" error="Keep the rep range short, e.g. 8-12." sqref="F123:F130">
      <formula1>20</formula1>
    </dataValidation>
    <dataValidation type="textLength" operator="lessThanOrEqual" allowBlank="1" showErrorMessage="1" error="Keep the rep range short, e.g. 8-12." sqref="F137:F144">
      <formula1>20</formula1>
    </dataValidation>
    <dataValidation type="textLength" operator="lessThanOrEqual" allowBlank="1" showErrorMessage="1" error="Keep the rep range short, e.g. 8-12." sqref="F151:F158">
      <formula1>20</formula1>
    </dataValidation>
    <dataValidation type="textLength" operator="lessThanOrEqual" allowBlank="1" showErrorMessage="1" error="Keep the rep range short, e.g. 8-12." sqref="F165:F172">
      <formula1>20</formula1>
    </dataValidation>
    <dataValidation type="textLength" operator="lessThanOrEqual" allowBlank="1" showErrorMessage="1" error="Keep the rep range short, e.g. 8-12." sqref="F179:F186">
      <formula1>20</formula1>
    </dataValidation>
    <dataValidation type="textLength" operator="lessThanOrEqual" allowBlank="1" showErrorMessage="1" error="Keep the rep range short, e.g. 8-12." sqref="F193:F200">
      <formula1>20</formula1>
    </dataValidation>
    <dataValidation type="textLength" operator="lessThanOrEqual" allowBlank="1" showErrorMessage="1" error="Keep the rep range short, e.g. 8-12." sqref="F207:F214">
      <formula1>20</formula1>
    </dataValidation>
    <dataValidation type="textLength" operator="lessThanOrEqual" allowBlank="1" showErrorMessage="1" error="Keep the rep range short, e.g. 8-12." sqref="F25:F32">
      <formula1>20</formula1>
    </dataValidation>
    <dataValidation type="textLength" operator="lessThanOrEqual" allowBlank="1" showErrorMessage="1" error="Keep the rep range short, e.g. 8-12." sqref="F39:F46">
      <formula1>20</formula1>
    </dataValidation>
    <dataValidation type="textLength" operator="lessThanOrEqual" allowBlank="1" showErrorMessage="1" error="Keep the rep range short, e.g. 8-12." sqref="F53:F60">
      <formula1>20</formula1>
    </dataValidation>
    <dataValidation type="textLength" operator="lessThanOrEqual" allowBlank="1" showErrorMessage="1" error="Keep the rep range short, e.g. 8-12." sqref="F67:F74">
      <formula1>20</formula1>
    </dataValidation>
    <dataValidation type="textLength" operator="lessThanOrEqual" allowBlank="1" showErrorMessage="1" error="Keep the rep range short, e.g. 8-12." sqref="F81:F88">
      <formula1>20</formula1>
    </dataValidation>
    <dataValidation type="textLength" operator="lessThanOrEqual" allowBlank="1" showErrorMessage="1" error="Keep the rep range short, e.g. 8-12." sqref="F95:F102">
      <formula1>20</formula1>
    </dataValidation>
  </dataValidations>
  <pageMargins left="0.7" right="0.7" top="0.75" bottom="0.75" header="0.3" footer="0.3"/>
  <pageSetup orientation="portrait" horizontalDpi="4294967295" verticalDpi="4294967295" scale="100" fitToWidth="1" fitToHeight="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A6EA5"/>
  </sheetPr>
  <dimension ref="A1:Q214"/>
  <sheetViews>
    <sheetView workbookViewId="0" showGridLines="0">
      <pane ySplit="4" topLeftCell="A5" activePane="bottomLeft" state="frozen"/>
      <selection pane="bottomLeft"/>
    </sheetView>
  </sheetViews>
  <sheetFormatPr defaultRowHeight="15" outlineLevelRow="0" outlineLevelCol="0" x14ac:dyDescent="55"/>
  <cols>
    <col min="1" max="1" width="2" customWidth="1"/>
    <col min="2" max="2" width="13" customWidth="1"/>
    <col min="3" max="3" width="18" customWidth="1"/>
    <col min="4" max="6" width="14" customWidth="1"/>
    <col min="7" max="7" width="40" customWidth="1"/>
    <col min="14" max="14" width="9" hidden="1" customWidth="1"/>
    <col min="15" max="15" width="9" hidden="1" customWidth="1"/>
    <col min="16" max="16" width="9" hidden="1" customWidth="1"/>
    <col min="17" max="17" width="9" hidden="1" customWidth="1"/>
  </cols>
  <sheetData>
    <row r="1" ht="30" customHeight="1" spans="1:15" x14ac:dyDescent="0.25">
      <c r="A1" s="14">
        <f>IF($O$1="FILL","✅  FILL OUT THIS SHEET — Workout 10",IF($O$1="SKIP","⛔  NOT NEEDED — leave this sheet blank","Start on the Start sheet: answer question 1 first"))</f>
      </c>
      <c r="B1" s="14"/>
      <c r="C1" s="14"/>
      <c r="D1" s="14"/>
      <c r="E1" s="14"/>
      <c r="F1" s="14"/>
      <c r="G1" s="14"/>
      <c r="O1">
        <f>IF(Start!$C$4="Single Workout","SKIP",IF(Start!$C$4="Program",IF(10&lt;=N(Start!$C$9),"FILL","SKIP"),""))</f>
      </c>
    </row>
    <row r="2" spans="15:15" x14ac:dyDescent="0.25">
      <c r="O2">
        <f>IF($O$1="FILL",COUNTIF($G$3:$G$214,"⚠*"),0)</f>
      </c>
    </row>
    <row r="3" ht="26" customHeight="1" spans="2:7" x14ac:dyDescent="0.25">
      <c r="B3" s="15" t="s">
        <v>42</v>
      </c>
      <c r="C3" s="16"/>
      <c r="D3" s="16"/>
      <c r="E3" s="16"/>
      <c r="F3" s="16"/>
      <c r="G3" s="17">
        <f>IFERROR(IF($O$1&lt;&gt;"FILL","",IF($C$3="","⚠ Name this workout",IF($C$3="REST","⚠ REST is reserved for rest days — pick another name",IF(COUNTIF(Lists!$A$3:$A$14,$C$3)&gt;1,"⚠ Another workout has this name",IF(COUNTA($C$7,$C$8,$C$21,$C$22,$C$35,$C$36,$C$49,$C$50,$C$63,$C$64,$C$77,$C$78,$C$91,$C$92,$C$105,$C$106,$C$119,$C$120,$C$133,$C$134,$C$147,$C$148,$C$161,$C$162,$C$175,$C$176,$C$189,$C$190,$C$203,$C$204)=0,"⚠ Add at least one exercise","✓ Looks good"))))),"⚠ Check this row")</f>
      </c>
    </row>
    <row r="4" ht="30" customHeight="1" spans="2:6" x14ac:dyDescent="0.25">
      <c r="B4" s="15" t="s">
        <v>43</v>
      </c>
      <c r="C4" s="5"/>
      <c r="D4" s="5"/>
      <c r="E4" s="5"/>
      <c r="F4" s="5"/>
    </row>
    <row r="6" spans="2:6" x14ac:dyDescent="0.25">
      <c r="B6" s="18" t="s">
        <v>44</v>
      </c>
      <c r="C6" s="19"/>
      <c r="D6" s="19"/>
      <c r="E6" s="5"/>
      <c r="F6" s="5"/>
    </row>
    <row r="7" ht="24" customHeight="1" spans="2:16" x14ac:dyDescent="0.25">
      <c r="B7" s="20" t="s">
        <v>45</v>
      </c>
      <c r="C7" s="21"/>
      <c r="D7" s="21"/>
      <c r="E7" s="21"/>
      <c r="F7" s="21"/>
      <c r="G7" s="4">
        <f>IFERROR(IF(AND($C$7="",$C$8=""),IF(COUNTA($C$6:$F$6,$E$9,$C$11:$F$18)+COUNTA($E$8,$C$9)&gt;0,"⚠ Pick an exercise for this card",""),IF(AND($C$7&lt;&gt;"",$C$8&lt;&gt;""),"⚠ Use the library OR a custom exercise, not both",IF(AND($C$8&lt;&gt;"",$E$8=""),"⚠ Pick a muscle group for the custom exercise",IF(COUNT($E$11:$E$18)=0,"⚠ Enter Goal Reps for at least one set",IF(SUM($Q$11:$Q$18)&gt;0,"⚠ A set is missing Goal Reps",IF(IF($C$9="",1=0,COUNTIF($P$7:$P$214,$C$9)&lt;2),"⚠ Superset "&amp;$C$9&amp;" needs 2+ exercises",IF($C$7&lt;&gt;"",IFERROR("✓ "&amp;INDEX('Exercise Library'!$C$2:$C$319,MATCH($C$7,'Exercise Library'!$B$2:$B$319,0))&amp;IF(INDEX('Exercise Library'!$D$2:$D$319,MATCH($C$7,'Exercise Library'!$B$2:$B$319,0))="Yes"," · demo video","")&amp;" · "&amp;COUNT($E$11:$E$18)&amp;" sets","⚠ Not in the library — use Custom"),"✓ Custom ("&amp;$E$8&amp;") · "&amp;COUNT($E$11:$E$18)&amp;" sets"))))))),"⚠ Check this row")</f>
      </c>
      <c r="P7">
        <f>IF(OR($C$7&lt;&gt;"",$C$8&lt;&gt;""),$C$9,"")</f>
      </c>
    </row>
    <row r="8" spans="2:6" x14ac:dyDescent="0.25">
      <c r="B8" s="18" t="s">
        <v>46</v>
      </c>
      <c r="C8" s="5"/>
      <c r="D8" s="5"/>
      <c r="E8" s="5"/>
      <c r="F8" s="18" t="s">
        <v>47</v>
      </c>
    </row>
    <row r="9" ht="22" customHeight="1" spans="2:6" x14ac:dyDescent="0.25">
      <c r="B9" s="18" t="s">
        <v>48</v>
      </c>
      <c r="C9" s="22"/>
      <c r="D9" s="18" t="s">
        <v>49</v>
      </c>
      <c r="E9" s="5"/>
      <c r="F9" s="5"/>
    </row>
    <row r="10" spans="2:6" x14ac:dyDescent="0.25">
      <c r="B10" s="23" t="s">
        <v>50</v>
      </c>
      <c r="C10" s="23" t="s">
        <v>51</v>
      </c>
      <c r="D10" s="23" t="s">
        <v>52</v>
      </c>
      <c r="E10" s="23" t="s">
        <v>53</v>
      </c>
      <c r="F10" s="23" t="s">
        <v>54</v>
      </c>
    </row>
    <row r="11" spans="2:17" x14ac:dyDescent="0.25">
      <c r="B11" s="24">
        <v>1</v>
      </c>
      <c r="C11" s="22"/>
      <c r="D11" s="22"/>
      <c r="E11" s="22"/>
      <c r="F11" s="22"/>
      <c r="Q11">
        <f>IF(AND($E11="",COUNTA($C11:$D11,$F11)&gt;0),1,0)</f>
      </c>
    </row>
    <row r="12" spans="2:17" x14ac:dyDescent="0.25">
      <c r="B12" s="24">
        <v>2</v>
      </c>
      <c r="C12" s="22"/>
      <c r="D12" s="22"/>
      <c r="E12" s="22"/>
      <c r="F12" s="22"/>
      <c r="Q12">
        <f>IF(AND($E12="",COUNTA($C12:$D12,$F12)&gt;0),1,0)</f>
      </c>
    </row>
    <row r="13" spans="2:17" x14ac:dyDescent="0.25">
      <c r="B13" s="24">
        <v>3</v>
      </c>
      <c r="C13" s="22"/>
      <c r="D13" s="22"/>
      <c r="E13" s="22"/>
      <c r="F13" s="22"/>
      <c r="Q13">
        <f>IF(AND($E13="",COUNTA($C13:$D13,$F13)&gt;0),1,0)</f>
      </c>
    </row>
    <row r="14" spans="2:17" x14ac:dyDescent="0.25">
      <c r="B14" s="24">
        <v>4</v>
      </c>
      <c r="C14" s="22"/>
      <c r="D14" s="22"/>
      <c r="E14" s="22"/>
      <c r="F14" s="22"/>
      <c r="Q14">
        <f>IF(AND($E14="",COUNTA($C14:$D14,$F14)&gt;0),1,0)</f>
      </c>
    </row>
    <row r="15" spans="2:17" x14ac:dyDescent="0.25">
      <c r="B15" s="24">
        <v>5</v>
      </c>
      <c r="C15" s="22"/>
      <c r="D15" s="22"/>
      <c r="E15" s="22"/>
      <c r="F15" s="22"/>
      <c r="Q15">
        <f>IF(AND($E15="",COUNTA($C15:$D15,$F15)&gt;0),1,0)</f>
      </c>
    </row>
    <row r="16" spans="2:17" x14ac:dyDescent="0.25">
      <c r="B16" s="24">
        <v>6</v>
      </c>
      <c r="C16" s="22"/>
      <c r="D16" s="22"/>
      <c r="E16" s="22"/>
      <c r="F16" s="22"/>
      <c r="Q16">
        <f>IF(AND($E16="",COUNTA($C16:$D16,$F16)&gt;0),1,0)</f>
      </c>
    </row>
    <row r="17" spans="2:17" x14ac:dyDescent="0.25">
      <c r="B17" s="24">
        <v>7</v>
      </c>
      <c r="C17" s="22"/>
      <c r="D17" s="22"/>
      <c r="E17" s="22"/>
      <c r="F17" s="22"/>
      <c r="Q17">
        <f>IF(AND($E17="",COUNTA($C17:$D17,$F17)&gt;0),1,0)</f>
      </c>
    </row>
    <row r="18" spans="2:17" x14ac:dyDescent="0.25">
      <c r="B18" s="24">
        <v>8</v>
      </c>
      <c r="C18" s="22"/>
      <c r="D18" s="22"/>
      <c r="E18" s="22"/>
      <c r="F18" s="22"/>
      <c r="Q18">
        <f>IF(AND($E18="",COUNTA($C18:$D18,$F18)&gt;0),1,0)</f>
      </c>
    </row>
    <row r="20" spans="2:6" x14ac:dyDescent="0.25">
      <c r="B20" s="18" t="s">
        <v>44</v>
      </c>
      <c r="C20" s="19"/>
      <c r="D20" s="19"/>
      <c r="E20" s="5"/>
      <c r="F20" s="5"/>
    </row>
    <row r="21" ht="24" customHeight="1" spans="2:16" x14ac:dyDescent="0.25">
      <c r="B21" s="20" t="s">
        <v>55</v>
      </c>
      <c r="C21" s="21"/>
      <c r="D21" s="21"/>
      <c r="E21" s="21"/>
      <c r="F21" s="21"/>
      <c r="G21" s="4">
        <f>IFERROR(IF(AND($C$21="",$C$22=""),IF(COUNTA($C$20:$F$20,$E$23,$C$25:$F$32)+COUNTA($E$22,$C$23)&gt;0,"⚠ Pick an exercise for this card",""),IF(AND($C$21&lt;&gt;"",$C$22&lt;&gt;""),"⚠ Use the library OR a custom exercise, not both",IF(AND($C$22&lt;&gt;"",$E$22=""),"⚠ Pick a muscle group for the custom exercise",IF(COUNT($E$25:$E$32)=0,"⚠ Enter Goal Reps for at least one set",IF(SUM($Q$25:$Q$32)&gt;0,"⚠ A set is missing Goal Reps",IF(IF($C$23="",1=0,COUNTIF($P$7:$P$214,$C$23)&lt;2),"⚠ Superset "&amp;$C$23&amp;" needs 2+ exercises",IF($C$21&lt;&gt;"",IFERROR("✓ "&amp;INDEX('Exercise Library'!$C$2:$C$319,MATCH($C$21,'Exercise Library'!$B$2:$B$319,0))&amp;IF(INDEX('Exercise Library'!$D$2:$D$319,MATCH($C$21,'Exercise Library'!$B$2:$B$319,0))="Yes"," · demo video","")&amp;" · "&amp;COUNT($E$25:$E$32)&amp;" sets","⚠ Not in the library — use Custom"),"✓ Custom ("&amp;$E$22&amp;") · "&amp;COUNT($E$25:$E$32)&amp;" sets"))))))),"⚠ Check this row")</f>
      </c>
      <c r="P21">
        <f>IF(OR($C$21&lt;&gt;"",$C$22&lt;&gt;""),$C$23,"")</f>
      </c>
    </row>
    <row r="22" spans="2:6" x14ac:dyDescent="0.25">
      <c r="B22" s="18" t="s">
        <v>46</v>
      </c>
      <c r="C22" s="5"/>
      <c r="D22" s="5"/>
      <c r="E22" s="5"/>
      <c r="F22" s="18" t="s">
        <v>47</v>
      </c>
    </row>
    <row r="23" ht="22" customHeight="1" spans="2:6" x14ac:dyDescent="0.25">
      <c r="B23" s="18" t="s">
        <v>48</v>
      </c>
      <c r="C23" s="22"/>
      <c r="D23" s="18" t="s">
        <v>49</v>
      </c>
      <c r="E23" s="5"/>
      <c r="F23" s="5"/>
    </row>
    <row r="24" spans="2:6" x14ac:dyDescent="0.25">
      <c r="B24" s="23" t="s">
        <v>50</v>
      </c>
      <c r="C24" s="23" t="s">
        <v>51</v>
      </c>
      <c r="D24" s="23" t="s">
        <v>52</v>
      </c>
      <c r="E24" s="23" t="s">
        <v>53</v>
      </c>
      <c r="F24" s="23" t="s">
        <v>54</v>
      </c>
    </row>
    <row r="25" spans="2:17" x14ac:dyDescent="0.25">
      <c r="B25" s="24">
        <v>1</v>
      </c>
      <c r="C25" s="22"/>
      <c r="D25" s="22"/>
      <c r="E25" s="22"/>
      <c r="F25" s="22"/>
      <c r="Q25">
        <f>IF(AND($E25="",COUNTA($C25:$D25,$F25)&gt;0),1,0)</f>
      </c>
    </row>
    <row r="26" spans="2:17" x14ac:dyDescent="0.25">
      <c r="B26" s="24">
        <v>2</v>
      </c>
      <c r="C26" s="22"/>
      <c r="D26" s="22"/>
      <c r="E26" s="22"/>
      <c r="F26" s="22"/>
      <c r="Q26">
        <f>IF(AND($E26="",COUNTA($C26:$D26,$F26)&gt;0),1,0)</f>
      </c>
    </row>
    <row r="27" spans="2:17" x14ac:dyDescent="0.25">
      <c r="B27" s="24">
        <v>3</v>
      </c>
      <c r="C27" s="22"/>
      <c r="D27" s="22"/>
      <c r="E27" s="22"/>
      <c r="F27" s="22"/>
      <c r="Q27">
        <f>IF(AND($E27="",COUNTA($C27:$D27,$F27)&gt;0),1,0)</f>
      </c>
    </row>
    <row r="28" spans="2:17" x14ac:dyDescent="0.25">
      <c r="B28" s="24">
        <v>4</v>
      </c>
      <c r="C28" s="22"/>
      <c r="D28" s="22"/>
      <c r="E28" s="22"/>
      <c r="F28" s="22"/>
      <c r="Q28">
        <f>IF(AND($E28="",COUNTA($C28:$D28,$F28)&gt;0),1,0)</f>
      </c>
    </row>
    <row r="29" spans="2:17" x14ac:dyDescent="0.25">
      <c r="B29" s="24">
        <v>5</v>
      </c>
      <c r="C29" s="22"/>
      <c r="D29" s="22"/>
      <c r="E29" s="22"/>
      <c r="F29" s="22"/>
      <c r="Q29">
        <f>IF(AND($E29="",COUNTA($C29:$D29,$F29)&gt;0),1,0)</f>
      </c>
    </row>
    <row r="30" spans="2:17" x14ac:dyDescent="0.25">
      <c r="B30" s="24">
        <v>6</v>
      </c>
      <c r="C30" s="22"/>
      <c r="D30" s="22"/>
      <c r="E30" s="22"/>
      <c r="F30" s="22"/>
      <c r="Q30">
        <f>IF(AND($E30="",COUNTA($C30:$D30,$F30)&gt;0),1,0)</f>
      </c>
    </row>
    <row r="31" spans="2:17" x14ac:dyDescent="0.25">
      <c r="B31" s="24">
        <v>7</v>
      </c>
      <c r="C31" s="22"/>
      <c r="D31" s="22"/>
      <c r="E31" s="22"/>
      <c r="F31" s="22"/>
      <c r="Q31">
        <f>IF(AND($E31="",COUNTA($C31:$D31,$F31)&gt;0),1,0)</f>
      </c>
    </row>
    <row r="32" spans="2:17" x14ac:dyDescent="0.25">
      <c r="B32" s="24">
        <v>8</v>
      </c>
      <c r="C32" s="22"/>
      <c r="D32" s="22"/>
      <c r="E32" s="22"/>
      <c r="F32" s="22"/>
      <c r="Q32">
        <f>IF(AND($E32="",COUNTA($C32:$D32,$F32)&gt;0),1,0)</f>
      </c>
    </row>
    <row r="34" spans="2:6" x14ac:dyDescent="0.25">
      <c r="B34" s="18" t="s">
        <v>44</v>
      </c>
      <c r="C34" s="19"/>
      <c r="D34" s="19"/>
      <c r="E34" s="5"/>
      <c r="F34" s="5"/>
    </row>
    <row r="35" ht="24" customHeight="1" spans="2:16" x14ac:dyDescent="0.25">
      <c r="B35" s="20" t="s">
        <v>56</v>
      </c>
      <c r="C35" s="21"/>
      <c r="D35" s="21"/>
      <c r="E35" s="21"/>
      <c r="F35" s="21"/>
      <c r="G35" s="4">
        <f>IFERROR(IF(AND($C$35="",$C$36=""),IF(COUNTA($C$34:$F$34,$E$37,$C$39:$F$46)+COUNTA($E$36,$C$37)&gt;0,"⚠ Pick an exercise for this card",""),IF(AND($C$35&lt;&gt;"",$C$36&lt;&gt;""),"⚠ Use the library OR a custom exercise, not both",IF(AND($C$36&lt;&gt;"",$E$36=""),"⚠ Pick a muscle group for the custom exercise",IF(COUNT($E$39:$E$46)=0,"⚠ Enter Goal Reps for at least one set",IF(SUM($Q$39:$Q$46)&gt;0,"⚠ A set is missing Goal Reps",IF(IF($C$37="",1=0,COUNTIF($P$7:$P$214,$C$37)&lt;2),"⚠ Superset "&amp;$C$37&amp;" needs 2+ exercises",IF($C$35&lt;&gt;"",IFERROR("✓ "&amp;INDEX('Exercise Library'!$C$2:$C$319,MATCH($C$35,'Exercise Library'!$B$2:$B$319,0))&amp;IF(INDEX('Exercise Library'!$D$2:$D$319,MATCH($C$35,'Exercise Library'!$B$2:$B$319,0))="Yes"," · demo video","")&amp;" · "&amp;COUNT($E$39:$E$46)&amp;" sets","⚠ Not in the library — use Custom"),"✓ Custom ("&amp;$E$36&amp;") · "&amp;COUNT($E$39:$E$46)&amp;" sets"))))))),"⚠ Check this row")</f>
      </c>
      <c r="P35">
        <f>IF(OR($C$35&lt;&gt;"",$C$36&lt;&gt;""),$C$37,"")</f>
      </c>
    </row>
    <row r="36" spans="2:6" x14ac:dyDescent="0.25">
      <c r="B36" s="18" t="s">
        <v>46</v>
      </c>
      <c r="C36" s="5"/>
      <c r="D36" s="5"/>
      <c r="E36" s="5"/>
      <c r="F36" s="18" t="s">
        <v>47</v>
      </c>
    </row>
    <row r="37" ht="22" customHeight="1" spans="2:6" x14ac:dyDescent="0.25">
      <c r="B37" s="18" t="s">
        <v>48</v>
      </c>
      <c r="C37" s="22"/>
      <c r="D37" s="18" t="s">
        <v>49</v>
      </c>
      <c r="E37" s="5"/>
      <c r="F37" s="5"/>
    </row>
    <row r="38" spans="2:6" x14ac:dyDescent="0.25">
      <c r="B38" s="23" t="s">
        <v>50</v>
      </c>
      <c r="C38" s="23" t="s">
        <v>51</v>
      </c>
      <c r="D38" s="23" t="s">
        <v>52</v>
      </c>
      <c r="E38" s="23" t="s">
        <v>53</v>
      </c>
      <c r="F38" s="23" t="s">
        <v>54</v>
      </c>
    </row>
    <row r="39" spans="2:17" x14ac:dyDescent="0.25">
      <c r="B39" s="24">
        <v>1</v>
      </c>
      <c r="C39" s="22"/>
      <c r="D39" s="22"/>
      <c r="E39" s="22"/>
      <c r="F39" s="22"/>
      <c r="Q39">
        <f>IF(AND($E39="",COUNTA($C39:$D39,$F39)&gt;0),1,0)</f>
      </c>
    </row>
    <row r="40" spans="2:17" x14ac:dyDescent="0.25">
      <c r="B40" s="24">
        <v>2</v>
      </c>
      <c r="C40" s="22"/>
      <c r="D40" s="22"/>
      <c r="E40" s="22"/>
      <c r="F40" s="22"/>
      <c r="Q40">
        <f>IF(AND($E40="",COUNTA($C40:$D40,$F40)&gt;0),1,0)</f>
      </c>
    </row>
    <row r="41" spans="2:17" x14ac:dyDescent="0.25">
      <c r="B41" s="24">
        <v>3</v>
      </c>
      <c r="C41" s="22"/>
      <c r="D41" s="22"/>
      <c r="E41" s="22"/>
      <c r="F41" s="22"/>
      <c r="Q41">
        <f>IF(AND($E41="",COUNTA($C41:$D41,$F41)&gt;0),1,0)</f>
      </c>
    </row>
    <row r="42" spans="2:17" x14ac:dyDescent="0.25">
      <c r="B42" s="24">
        <v>4</v>
      </c>
      <c r="C42" s="22"/>
      <c r="D42" s="22"/>
      <c r="E42" s="22"/>
      <c r="F42" s="22"/>
      <c r="Q42">
        <f>IF(AND($E42="",COUNTA($C42:$D42,$F42)&gt;0),1,0)</f>
      </c>
    </row>
    <row r="43" spans="2:17" x14ac:dyDescent="0.25">
      <c r="B43" s="24">
        <v>5</v>
      </c>
      <c r="C43" s="22"/>
      <c r="D43" s="22"/>
      <c r="E43" s="22"/>
      <c r="F43" s="22"/>
      <c r="Q43">
        <f>IF(AND($E43="",COUNTA($C43:$D43,$F43)&gt;0),1,0)</f>
      </c>
    </row>
    <row r="44" spans="2:17" x14ac:dyDescent="0.25">
      <c r="B44" s="24">
        <v>6</v>
      </c>
      <c r="C44" s="22"/>
      <c r="D44" s="22"/>
      <c r="E44" s="22"/>
      <c r="F44" s="22"/>
      <c r="Q44">
        <f>IF(AND($E44="",COUNTA($C44:$D44,$F44)&gt;0),1,0)</f>
      </c>
    </row>
    <row r="45" spans="2:17" x14ac:dyDescent="0.25">
      <c r="B45" s="24">
        <v>7</v>
      </c>
      <c r="C45" s="22"/>
      <c r="D45" s="22"/>
      <c r="E45" s="22"/>
      <c r="F45" s="22"/>
      <c r="Q45">
        <f>IF(AND($E45="",COUNTA($C45:$D45,$F45)&gt;0),1,0)</f>
      </c>
    </row>
    <row r="46" spans="2:17" x14ac:dyDescent="0.25">
      <c r="B46" s="24">
        <v>8</v>
      </c>
      <c r="C46" s="22"/>
      <c r="D46" s="22"/>
      <c r="E46" s="22"/>
      <c r="F46" s="22"/>
      <c r="Q46">
        <f>IF(AND($E46="",COUNTA($C46:$D46,$F46)&gt;0),1,0)</f>
      </c>
    </row>
    <row r="48" spans="2:6" x14ac:dyDescent="0.25">
      <c r="B48" s="18" t="s">
        <v>44</v>
      </c>
      <c r="C48" s="19"/>
      <c r="D48" s="19"/>
      <c r="E48" s="5"/>
      <c r="F48" s="5"/>
    </row>
    <row r="49" ht="24" customHeight="1" spans="2:16" x14ac:dyDescent="0.25">
      <c r="B49" s="20" t="s">
        <v>57</v>
      </c>
      <c r="C49" s="21"/>
      <c r="D49" s="21"/>
      <c r="E49" s="21"/>
      <c r="F49" s="21"/>
      <c r="G49" s="4">
        <f>IFERROR(IF(AND($C$49="",$C$50=""),IF(COUNTA($C$48:$F$48,$E$51,$C$53:$F$60)+COUNTA($E$50,$C$51)&gt;0,"⚠ Pick an exercise for this card",""),IF(AND($C$49&lt;&gt;"",$C$50&lt;&gt;""),"⚠ Use the library OR a custom exercise, not both",IF(AND($C$50&lt;&gt;"",$E$50=""),"⚠ Pick a muscle group for the custom exercise",IF(COUNT($E$53:$E$60)=0,"⚠ Enter Goal Reps for at least one set",IF(SUM($Q$53:$Q$60)&gt;0,"⚠ A set is missing Goal Reps",IF(IF($C$51="",1=0,COUNTIF($P$7:$P$214,$C$51)&lt;2),"⚠ Superset "&amp;$C$51&amp;" needs 2+ exercises",IF($C$49&lt;&gt;"",IFERROR("✓ "&amp;INDEX('Exercise Library'!$C$2:$C$319,MATCH($C$49,'Exercise Library'!$B$2:$B$319,0))&amp;IF(INDEX('Exercise Library'!$D$2:$D$319,MATCH($C$49,'Exercise Library'!$B$2:$B$319,0))="Yes"," · demo video","")&amp;" · "&amp;COUNT($E$53:$E$60)&amp;" sets","⚠ Not in the library — use Custom"),"✓ Custom ("&amp;$E$50&amp;") · "&amp;COUNT($E$53:$E$60)&amp;" sets"))))))),"⚠ Check this row")</f>
      </c>
      <c r="P49">
        <f>IF(OR($C$49&lt;&gt;"",$C$50&lt;&gt;""),$C$51,"")</f>
      </c>
    </row>
    <row r="50" spans="2:6" x14ac:dyDescent="0.25">
      <c r="B50" s="18" t="s">
        <v>46</v>
      </c>
      <c r="C50" s="5"/>
      <c r="D50" s="5"/>
      <c r="E50" s="5"/>
      <c r="F50" s="18" t="s">
        <v>47</v>
      </c>
    </row>
    <row r="51" ht="22" customHeight="1" spans="2:6" x14ac:dyDescent="0.25">
      <c r="B51" s="18" t="s">
        <v>48</v>
      </c>
      <c r="C51" s="22"/>
      <c r="D51" s="18" t="s">
        <v>49</v>
      </c>
      <c r="E51" s="5"/>
      <c r="F51" s="5"/>
    </row>
    <row r="52" spans="2:6" x14ac:dyDescent="0.25">
      <c r="B52" s="23" t="s">
        <v>50</v>
      </c>
      <c r="C52" s="23" t="s">
        <v>51</v>
      </c>
      <c r="D52" s="23" t="s">
        <v>52</v>
      </c>
      <c r="E52" s="23" t="s">
        <v>53</v>
      </c>
      <c r="F52" s="23" t="s">
        <v>54</v>
      </c>
    </row>
    <row r="53" spans="2:17" x14ac:dyDescent="0.25">
      <c r="B53" s="24">
        <v>1</v>
      </c>
      <c r="C53" s="22"/>
      <c r="D53" s="22"/>
      <c r="E53" s="22"/>
      <c r="F53" s="22"/>
      <c r="Q53">
        <f>IF(AND($E53="",COUNTA($C53:$D53,$F53)&gt;0),1,0)</f>
      </c>
    </row>
    <row r="54" spans="2:17" x14ac:dyDescent="0.25">
      <c r="B54" s="24">
        <v>2</v>
      </c>
      <c r="C54" s="22"/>
      <c r="D54" s="22"/>
      <c r="E54" s="22"/>
      <c r="F54" s="22"/>
      <c r="Q54">
        <f>IF(AND($E54="",COUNTA($C54:$D54,$F54)&gt;0),1,0)</f>
      </c>
    </row>
    <row r="55" spans="2:17" x14ac:dyDescent="0.25">
      <c r="B55" s="24">
        <v>3</v>
      </c>
      <c r="C55" s="22"/>
      <c r="D55" s="22"/>
      <c r="E55" s="22"/>
      <c r="F55" s="22"/>
      <c r="Q55">
        <f>IF(AND($E55="",COUNTA($C55:$D55,$F55)&gt;0),1,0)</f>
      </c>
    </row>
    <row r="56" spans="2:17" x14ac:dyDescent="0.25">
      <c r="B56" s="24">
        <v>4</v>
      </c>
      <c r="C56" s="22"/>
      <c r="D56" s="22"/>
      <c r="E56" s="22"/>
      <c r="F56" s="22"/>
      <c r="Q56">
        <f>IF(AND($E56="",COUNTA($C56:$D56,$F56)&gt;0),1,0)</f>
      </c>
    </row>
    <row r="57" spans="2:17" x14ac:dyDescent="0.25">
      <c r="B57" s="24">
        <v>5</v>
      </c>
      <c r="C57" s="22"/>
      <c r="D57" s="22"/>
      <c r="E57" s="22"/>
      <c r="F57" s="22"/>
      <c r="Q57">
        <f>IF(AND($E57="",COUNTA($C57:$D57,$F57)&gt;0),1,0)</f>
      </c>
    </row>
    <row r="58" spans="2:17" x14ac:dyDescent="0.25">
      <c r="B58" s="24">
        <v>6</v>
      </c>
      <c r="C58" s="22"/>
      <c r="D58" s="22"/>
      <c r="E58" s="22"/>
      <c r="F58" s="22"/>
      <c r="Q58">
        <f>IF(AND($E58="",COUNTA($C58:$D58,$F58)&gt;0),1,0)</f>
      </c>
    </row>
    <row r="59" spans="2:17" x14ac:dyDescent="0.25">
      <c r="B59" s="24">
        <v>7</v>
      </c>
      <c r="C59" s="22"/>
      <c r="D59" s="22"/>
      <c r="E59" s="22"/>
      <c r="F59" s="22"/>
      <c r="Q59">
        <f>IF(AND($E59="",COUNTA($C59:$D59,$F59)&gt;0),1,0)</f>
      </c>
    </row>
    <row r="60" spans="2:17" x14ac:dyDescent="0.25">
      <c r="B60" s="24">
        <v>8</v>
      </c>
      <c r="C60" s="22"/>
      <c r="D60" s="22"/>
      <c r="E60" s="22"/>
      <c r="F60" s="22"/>
      <c r="Q60">
        <f>IF(AND($E60="",COUNTA($C60:$D60,$F60)&gt;0),1,0)</f>
      </c>
    </row>
    <row r="62" spans="2:6" x14ac:dyDescent="0.25">
      <c r="B62" s="18" t="s">
        <v>44</v>
      </c>
      <c r="C62" s="19"/>
      <c r="D62" s="19"/>
      <c r="E62" s="5"/>
      <c r="F62" s="5"/>
    </row>
    <row r="63" ht="24" customHeight="1" spans="2:16" x14ac:dyDescent="0.25">
      <c r="B63" s="20" t="s">
        <v>58</v>
      </c>
      <c r="C63" s="21"/>
      <c r="D63" s="21"/>
      <c r="E63" s="21"/>
      <c r="F63" s="21"/>
      <c r="G63" s="4">
        <f>IFERROR(IF(AND($C$63="",$C$64=""),IF(COUNTA($C$62:$F$62,$E$65,$C$67:$F$74)+COUNTA($E$64,$C$65)&gt;0,"⚠ Pick an exercise for this card",""),IF(AND($C$63&lt;&gt;"",$C$64&lt;&gt;""),"⚠ Use the library OR a custom exercise, not both",IF(AND($C$64&lt;&gt;"",$E$64=""),"⚠ Pick a muscle group for the custom exercise",IF(COUNT($E$67:$E$74)=0,"⚠ Enter Goal Reps for at least one set",IF(SUM($Q$67:$Q$74)&gt;0,"⚠ A set is missing Goal Reps",IF(IF($C$65="",1=0,COUNTIF($P$7:$P$214,$C$65)&lt;2),"⚠ Superset "&amp;$C$65&amp;" needs 2+ exercises",IF($C$63&lt;&gt;"",IFERROR("✓ "&amp;INDEX('Exercise Library'!$C$2:$C$319,MATCH($C$63,'Exercise Library'!$B$2:$B$319,0))&amp;IF(INDEX('Exercise Library'!$D$2:$D$319,MATCH($C$63,'Exercise Library'!$B$2:$B$319,0))="Yes"," · demo video","")&amp;" · "&amp;COUNT($E$67:$E$74)&amp;" sets","⚠ Not in the library — use Custom"),"✓ Custom ("&amp;$E$64&amp;") · "&amp;COUNT($E$67:$E$74)&amp;" sets"))))))),"⚠ Check this row")</f>
      </c>
      <c r="P63">
        <f>IF(OR($C$63&lt;&gt;"",$C$64&lt;&gt;""),$C$65,"")</f>
      </c>
    </row>
    <row r="64" spans="2:6" x14ac:dyDescent="0.25">
      <c r="B64" s="18" t="s">
        <v>46</v>
      </c>
      <c r="C64" s="5"/>
      <c r="D64" s="5"/>
      <c r="E64" s="5"/>
      <c r="F64" s="18" t="s">
        <v>47</v>
      </c>
    </row>
    <row r="65" ht="22" customHeight="1" spans="2:6" x14ac:dyDescent="0.25">
      <c r="B65" s="18" t="s">
        <v>48</v>
      </c>
      <c r="C65" s="22"/>
      <c r="D65" s="18" t="s">
        <v>49</v>
      </c>
      <c r="E65" s="5"/>
      <c r="F65" s="5"/>
    </row>
    <row r="66" spans="2:6" x14ac:dyDescent="0.25">
      <c r="B66" s="23" t="s">
        <v>50</v>
      </c>
      <c r="C66" s="23" t="s">
        <v>51</v>
      </c>
      <c r="D66" s="23" t="s">
        <v>52</v>
      </c>
      <c r="E66" s="23" t="s">
        <v>53</v>
      </c>
      <c r="F66" s="23" t="s">
        <v>54</v>
      </c>
    </row>
    <row r="67" spans="2:17" x14ac:dyDescent="0.25">
      <c r="B67" s="24">
        <v>1</v>
      </c>
      <c r="C67" s="22"/>
      <c r="D67" s="22"/>
      <c r="E67" s="22"/>
      <c r="F67" s="22"/>
      <c r="Q67">
        <f>IF(AND($E67="",COUNTA($C67:$D67,$F67)&gt;0),1,0)</f>
      </c>
    </row>
    <row r="68" spans="2:17" x14ac:dyDescent="0.25">
      <c r="B68" s="24">
        <v>2</v>
      </c>
      <c r="C68" s="22"/>
      <c r="D68" s="22"/>
      <c r="E68" s="22"/>
      <c r="F68" s="22"/>
      <c r="Q68">
        <f>IF(AND($E68="",COUNTA($C68:$D68,$F68)&gt;0),1,0)</f>
      </c>
    </row>
    <row r="69" spans="2:17" x14ac:dyDescent="0.25">
      <c r="B69" s="24">
        <v>3</v>
      </c>
      <c r="C69" s="22"/>
      <c r="D69" s="22"/>
      <c r="E69" s="22"/>
      <c r="F69" s="22"/>
      <c r="Q69">
        <f>IF(AND($E69="",COUNTA($C69:$D69,$F69)&gt;0),1,0)</f>
      </c>
    </row>
    <row r="70" spans="2:17" x14ac:dyDescent="0.25">
      <c r="B70" s="24">
        <v>4</v>
      </c>
      <c r="C70" s="22"/>
      <c r="D70" s="22"/>
      <c r="E70" s="22"/>
      <c r="F70" s="22"/>
      <c r="Q70">
        <f>IF(AND($E70="",COUNTA($C70:$D70,$F70)&gt;0),1,0)</f>
      </c>
    </row>
    <row r="71" spans="2:17" x14ac:dyDescent="0.25">
      <c r="B71" s="24">
        <v>5</v>
      </c>
      <c r="C71" s="22"/>
      <c r="D71" s="22"/>
      <c r="E71" s="22"/>
      <c r="F71" s="22"/>
      <c r="Q71">
        <f>IF(AND($E71="",COUNTA($C71:$D71,$F71)&gt;0),1,0)</f>
      </c>
    </row>
    <row r="72" spans="2:17" x14ac:dyDescent="0.25">
      <c r="B72" s="24">
        <v>6</v>
      </c>
      <c r="C72" s="22"/>
      <c r="D72" s="22"/>
      <c r="E72" s="22"/>
      <c r="F72" s="22"/>
      <c r="Q72">
        <f>IF(AND($E72="",COUNTA($C72:$D72,$F72)&gt;0),1,0)</f>
      </c>
    </row>
    <row r="73" spans="2:17" x14ac:dyDescent="0.25">
      <c r="B73" s="24">
        <v>7</v>
      </c>
      <c r="C73" s="22"/>
      <c r="D73" s="22"/>
      <c r="E73" s="22"/>
      <c r="F73" s="22"/>
      <c r="Q73">
        <f>IF(AND($E73="",COUNTA($C73:$D73,$F73)&gt;0),1,0)</f>
      </c>
    </row>
    <row r="74" spans="2:17" x14ac:dyDescent="0.25">
      <c r="B74" s="24">
        <v>8</v>
      </c>
      <c r="C74" s="22"/>
      <c r="D74" s="22"/>
      <c r="E74" s="22"/>
      <c r="F74" s="22"/>
      <c r="Q74">
        <f>IF(AND($E74="",COUNTA($C74:$D74,$F74)&gt;0),1,0)</f>
      </c>
    </row>
    <row r="76" spans="2:6" x14ac:dyDescent="0.25">
      <c r="B76" s="18" t="s">
        <v>44</v>
      </c>
      <c r="C76" s="19"/>
      <c r="D76" s="19"/>
      <c r="E76" s="5"/>
      <c r="F76" s="5"/>
    </row>
    <row r="77" ht="24" customHeight="1" spans="2:16" x14ac:dyDescent="0.25">
      <c r="B77" s="20" t="s">
        <v>59</v>
      </c>
      <c r="C77" s="21"/>
      <c r="D77" s="21"/>
      <c r="E77" s="21"/>
      <c r="F77" s="21"/>
      <c r="G77" s="4">
        <f>IFERROR(IF(AND($C$77="",$C$78=""),IF(COUNTA($C$76:$F$76,$E$79,$C$81:$F$88)+COUNTA($E$78,$C$79)&gt;0,"⚠ Pick an exercise for this card",""),IF(AND($C$77&lt;&gt;"",$C$78&lt;&gt;""),"⚠ Use the library OR a custom exercise, not both",IF(AND($C$78&lt;&gt;"",$E$78=""),"⚠ Pick a muscle group for the custom exercise",IF(COUNT($E$81:$E$88)=0,"⚠ Enter Goal Reps for at least one set",IF(SUM($Q$81:$Q$88)&gt;0,"⚠ A set is missing Goal Reps",IF(IF($C$79="",1=0,COUNTIF($P$7:$P$214,$C$79)&lt;2),"⚠ Superset "&amp;$C$79&amp;" needs 2+ exercises",IF($C$77&lt;&gt;"",IFERROR("✓ "&amp;INDEX('Exercise Library'!$C$2:$C$319,MATCH($C$77,'Exercise Library'!$B$2:$B$319,0))&amp;IF(INDEX('Exercise Library'!$D$2:$D$319,MATCH($C$77,'Exercise Library'!$B$2:$B$319,0))="Yes"," · demo video","")&amp;" · "&amp;COUNT($E$81:$E$88)&amp;" sets","⚠ Not in the library — use Custom"),"✓ Custom ("&amp;$E$78&amp;") · "&amp;COUNT($E$81:$E$88)&amp;" sets"))))))),"⚠ Check this row")</f>
      </c>
      <c r="P77">
        <f>IF(OR($C$77&lt;&gt;"",$C$78&lt;&gt;""),$C$79,"")</f>
      </c>
    </row>
    <row r="78" spans="2:6" x14ac:dyDescent="0.25">
      <c r="B78" s="18" t="s">
        <v>46</v>
      </c>
      <c r="C78" s="5"/>
      <c r="D78" s="5"/>
      <c r="E78" s="5"/>
      <c r="F78" s="18" t="s">
        <v>47</v>
      </c>
    </row>
    <row r="79" ht="22" customHeight="1" spans="2:6" x14ac:dyDescent="0.25">
      <c r="B79" s="18" t="s">
        <v>48</v>
      </c>
      <c r="C79" s="22"/>
      <c r="D79" s="18" t="s">
        <v>49</v>
      </c>
      <c r="E79" s="5"/>
      <c r="F79" s="5"/>
    </row>
    <row r="80" spans="2:6" x14ac:dyDescent="0.25">
      <c r="B80" s="23" t="s">
        <v>50</v>
      </c>
      <c r="C80" s="23" t="s">
        <v>51</v>
      </c>
      <c r="D80" s="23" t="s">
        <v>52</v>
      </c>
      <c r="E80" s="23" t="s">
        <v>53</v>
      </c>
      <c r="F80" s="23" t="s">
        <v>54</v>
      </c>
    </row>
    <row r="81" spans="2:17" x14ac:dyDescent="0.25">
      <c r="B81" s="24">
        <v>1</v>
      </c>
      <c r="C81" s="22"/>
      <c r="D81" s="22"/>
      <c r="E81" s="22"/>
      <c r="F81" s="22"/>
      <c r="Q81">
        <f>IF(AND($E81="",COUNTA($C81:$D81,$F81)&gt;0),1,0)</f>
      </c>
    </row>
    <row r="82" spans="2:17" x14ac:dyDescent="0.25">
      <c r="B82" s="24">
        <v>2</v>
      </c>
      <c r="C82" s="22"/>
      <c r="D82" s="22"/>
      <c r="E82" s="22"/>
      <c r="F82" s="22"/>
      <c r="Q82">
        <f>IF(AND($E82="",COUNTA($C82:$D82,$F82)&gt;0),1,0)</f>
      </c>
    </row>
    <row r="83" spans="2:17" x14ac:dyDescent="0.25">
      <c r="B83" s="24">
        <v>3</v>
      </c>
      <c r="C83" s="22"/>
      <c r="D83" s="22"/>
      <c r="E83" s="22"/>
      <c r="F83" s="22"/>
      <c r="Q83">
        <f>IF(AND($E83="",COUNTA($C83:$D83,$F83)&gt;0),1,0)</f>
      </c>
    </row>
    <row r="84" spans="2:17" x14ac:dyDescent="0.25">
      <c r="B84" s="24">
        <v>4</v>
      </c>
      <c r="C84" s="22"/>
      <c r="D84" s="22"/>
      <c r="E84" s="22"/>
      <c r="F84" s="22"/>
      <c r="Q84">
        <f>IF(AND($E84="",COUNTA($C84:$D84,$F84)&gt;0),1,0)</f>
      </c>
    </row>
    <row r="85" spans="2:17" x14ac:dyDescent="0.25">
      <c r="B85" s="24">
        <v>5</v>
      </c>
      <c r="C85" s="22"/>
      <c r="D85" s="22"/>
      <c r="E85" s="22"/>
      <c r="F85" s="22"/>
      <c r="Q85">
        <f>IF(AND($E85="",COUNTA($C85:$D85,$F85)&gt;0),1,0)</f>
      </c>
    </row>
    <row r="86" spans="2:17" x14ac:dyDescent="0.25">
      <c r="B86" s="24">
        <v>6</v>
      </c>
      <c r="C86" s="22"/>
      <c r="D86" s="22"/>
      <c r="E86" s="22"/>
      <c r="F86" s="22"/>
      <c r="Q86">
        <f>IF(AND($E86="",COUNTA($C86:$D86,$F86)&gt;0),1,0)</f>
      </c>
    </row>
    <row r="87" spans="2:17" x14ac:dyDescent="0.25">
      <c r="B87" s="24">
        <v>7</v>
      </c>
      <c r="C87" s="22"/>
      <c r="D87" s="22"/>
      <c r="E87" s="22"/>
      <c r="F87" s="22"/>
      <c r="Q87">
        <f>IF(AND($E87="",COUNTA($C87:$D87,$F87)&gt;0),1,0)</f>
      </c>
    </row>
    <row r="88" spans="2:17" x14ac:dyDescent="0.25">
      <c r="B88" s="24">
        <v>8</v>
      </c>
      <c r="C88" s="22"/>
      <c r="D88" s="22"/>
      <c r="E88" s="22"/>
      <c r="F88" s="22"/>
      <c r="Q88">
        <f>IF(AND($E88="",COUNTA($C88:$D88,$F88)&gt;0),1,0)</f>
      </c>
    </row>
    <row r="90" spans="2:6" x14ac:dyDescent="0.25">
      <c r="B90" s="18" t="s">
        <v>44</v>
      </c>
      <c r="C90" s="19"/>
      <c r="D90" s="19"/>
      <c r="E90" s="5"/>
      <c r="F90" s="5"/>
    </row>
    <row r="91" ht="24" customHeight="1" spans="2:16" x14ac:dyDescent="0.25">
      <c r="B91" s="20" t="s">
        <v>60</v>
      </c>
      <c r="C91" s="21"/>
      <c r="D91" s="21"/>
      <c r="E91" s="21"/>
      <c r="F91" s="21"/>
      <c r="G91" s="4">
        <f>IFERROR(IF(AND($C$91="",$C$92=""),IF(COUNTA($C$90:$F$90,$E$93,$C$95:$F$102)+COUNTA($E$92,$C$93)&gt;0,"⚠ Pick an exercise for this card",""),IF(AND($C$91&lt;&gt;"",$C$92&lt;&gt;""),"⚠ Use the library OR a custom exercise, not both",IF(AND($C$92&lt;&gt;"",$E$92=""),"⚠ Pick a muscle group for the custom exercise",IF(COUNT($E$95:$E$102)=0,"⚠ Enter Goal Reps for at least one set",IF(SUM($Q$95:$Q$102)&gt;0,"⚠ A set is missing Goal Reps",IF(IF($C$93="",1=0,COUNTIF($P$7:$P$214,$C$93)&lt;2),"⚠ Superset "&amp;$C$93&amp;" needs 2+ exercises",IF($C$91&lt;&gt;"",IFERROR("✓ "&amp;INDEX('Exercise Library'!$C$2:$C$319,MATCH($C$91,'Exercise Library'!$B$2:$B$319,0))&amp;IF(INDEX('Exercise Library'!$D$2:$D$319,MATCH($C$91,'Exercise Library'!$B$2:$B$319,0))="Yes"," · demo video","")&amp;" · "&amp;COUNT($E$95:$E$102)&amp;" sets","⚠ Not in the library — use Custom"),"✓ Custom ("&amp;$E$92&amp;") · "&amp;COUNT($E$95:$E$102)&amp;" sets"))))))),"⚠ Check this row")</f>
      </c>
      <c r="P91">
        <f>IF(OR($C$91&lt;&gt;"",$C$92&lt;&gt;""),$C$93,"")</f>
      </c>
    </row>
    <row r="92" spans="2:6" x14ac:dyDescent="0.25">
      <c r="B92" s="18" t="s">
        <v>46</v>
      </c>
      <c r="C92" s="5"/>
      <c r="D92" s="5"/>
      <c r="E92" s="5"/>
      <c r="F92" s="18" t="s">
        <v>47</v>
      </c>
    </row>
    <row r="93" ht="22" customHeight="1" spans="2:6" x14ac:dyDescent="0.25">
      <c r="B93" s="18" t="s">
        <v>48</v>
      </c>
      <c r="C93" s="22"/>
      <c r="D93" s="18" t="s">
        <v>49</v>
      </c>
      <c r="E93" s="5"/>
      <c r="F93" s="5"/>
    </row>
    <row r="94" spans="2:6" x14ac:dyDescent="0.25">
      <c r="B94" s="23" t="s">
        <v>50</v>
      </c>
      <c r="C94" s="23" t="s">
        <v>51</v>
      </c>
      <c r="D94" s="23" t="s">
        <v>52</v>
      </c>
      <c r="E94" s="23" t="s">
        <v>53</v>
      </c>
      <c r="F94" s="23" t="s">
        <v>54</v>
      </c>
    </row>
    <row r="95" spans="2:17" x14ac:dyDescent="0.25">
      <c r="B95" s="24">
        <v>1</v>
      </c>
      <c r="C95" s="22"/>
      <c r="D95" s="22"/>
      <c r="E95" s="22"/>
      <c r="F95" s="22"/>
      <c r="Q95">
        <f>IF(AND($E95="",COUNTA($C95:$D95,$F95)&gt;0),1,0)</f>
      </c>
    </row>
    <row r="96" spans="2:17" x14ac:dyDescent="0.25">
      <c r="B96" s="24">
        <v>2</v>
      </c>
      <c r="C96" s="22"/>
      <c r="D96" s="22"/>
      <c r="E96" s="22"/>
      <c r="F96" s="22"/>
      <c r="Q96">
        <f>IF(AND($E96="",COUNTA($C96:$D96,$F96)&gt;0),1,0)</f>
      </c>
    </row>
    <row r="97" spans="2:17" x14ac:dyDescent="0.25">
      <c r="B97" s="24">
        <v>3</v>
      </c>
      <c r="C97" s="22"/>
      <c r="D97" s="22"/>
      <c r="E97" s="22"/>
      <c r="F97" s="22"/>
      <c r="Q97">
        <f>IF(AND($E97="",COUNTA($C97:$D97,$F97)&gt;0),1,0)</f>
      </c>
    </row>
    <row r="98" spans="2:17" x14ac:dyDescent="0.25">
      <c r="B98" s="24">
        <v>4</v>
      </c>
      <c r="C98" s="22"/>
      <c r="D98" s="22"/>
      <c r="E98" s="22"/>
      <c r="F98" s="22"/>
      <c r="Q98">
        <f>IF(AND($E98="",COUNTA($C98:$D98,$F98)&gt;0),1,0)</f>
      </c>
    </row>
    <row r="99" spans="2:17" x14ac:dyDescent="0.25">
      <c r="B99" s="24">
        <v>5</v>
      </c>
      <c r="C99" s="22"/>
      <c r="D99" s="22"/>
      <c r="E99" s="22"/>
      <c r="F99" s="22"/>
      <c r="Q99">
        <f>IF(AND($E99="",COUNTA($C99:$D99,$F99)&gt;0),1,0)</f>
      </c>
    </row>
    <row r="100" spans="2:17" x14ac:dyDescent="0.25">
      <c r="B100" s="24">
        <v>6</v>
      </c>
      <c r="C100" s="22"/>
      <c r="D100" s="22"/>
      <c r="E100" s="22"/>
      <c r="F100" s="22"/>
      <c r="Q100">
        <f>IF(AND($E100="",COUNTA($C100:$D100,$F100)&gt;0),1,0)</f>
      </c>
    </row>
    <row r="101" spans="2:17" x14ac:dyDescent="0.25">
      <c r="B101" s="24">
        <v>7</v>
      </c>
      <c r="C101" s="22"/>
      <c r="D101" s="22"/>
      <c r="E101" s="22"/>
      <c r="F101" s="22"/>
      <c r="Q101">
        <f>IF(AND($E101="",COUNTA($C101:$D101,$F101)&gt;0),1,0)</f>
      </c>
    </row>
    <row r="102" spans="2:17" x14ac:dyDescent="0.25">
      <c r="B102" s="24">
        <v>8</v>
      </c>
      <c r="C102" s="22"/>
      <c r="D102" s="22"/>
      <c r="E102" s="22"/>
      <c r="F102" s="22"/>
      <c r="Q102">
        <f>IF(AND($E102="",COUNTA($C102:$D102,$F102)&gt;0),1,0)</f>
      </c>
    </row>
    <row r="104" spans="2:6" x14ac:dyDescent="0.25">
      <c r="B104" s="18" t="s">
        <v>44</v>
      </c>
      <c r="C104" s="19"/>
      <c r="D104" s="19"/>
      <c r="E104" s="5"/>
      <c r="F104" s="5"/>
    </row>
    <row r="105" ht="24" customHeight="1" spans="2:16" x14ac:dyDescent="0.25">
      <c r="B105" s="20" t="s">
        <v>61</v>
      </c>
      <c r="C105" s="21"/>
      <c r="D105" s="21"/>
      <c r="E105" s="21"/>
      <c r="F105" s="21"/>
      <c r="G105" s="4">
        <f>IFERROR(IF(AND($C$105="",$C$106=""),IF(COUNTA($C$104:$F$104,$E$107,$C$109:$F$116)+COUNTA($E$106,$C$107)&gt;0,"⚠ Pick an exercise for this card",""),IF(AND($C$105&lt;&gt;"",$C$106&lt;&gt;""),"⚠ Use the library OR a custom exercise, not both",IF(AND($C$106&lt;&gt;"",$E$106=""),"⚠ Pick a muscle group for the custom exercise",IF(COUNT($E$109:$E$116)=0,"⚠ Enter Goal Reps for at least one set",IF(SUM($Q$109:$Q$116)&gt;0,"⚠ A set is missing Goal Reps",IF(IF($C$107="",1=0,COUNTIF($P$7:$P$214,$C$107)&lt;2),"⚠ Superset "&amp;$C$107&amp;" needs 2+ exercises",IF($C$105&lt;&gt;"",IFERROR("✓ "&amp;INDEX('Exercise Library'!$C$2:$C$319,MATCH($C$105,'Exercise Library'!$B$2:$B$319,0))&amp;IF(INDEX('Exercise Library'!$D$2:$D$319,MATCH($C$105,'Exercise Library'!$B$2:$B$319,0))="Yes"," · demo video","")&amp;" · "&amp;COUNT($E$109:$E$116)&amp;" sets","⚠ Not in the library — use Custom"),"✓ Custom ("&amp;$E$106&amp;") · "&amp;COUNT($E$109:$E$116)&amp;" sets"))))))),"⚠ Check this row")</f>
      </c>
      <c r="P105">
        <f>IF(OR($C$105&lt;&gt;"",$C$106&lt;&gt;""),$C$107,"")</f>
      </c>
    </row>
    <row r="106" spans="2:6" x14ac:dyDescent="0.25">
      <c r="B106" s="18" t="s">
        <v>46</v>
      </c>
      <c r="C106" s="5"/>
      <c r="D106" s="5"/>
      <c r="E106" s="5"/>
      <c r="F106" s="18" t="s">
        <v>47</v>
      </c>
    </row>
    <row r="107" ht="22" customHeight="1" spans="2:6" x14ac:dyDescent="0.25">
      <c r="B107" s="18" t="s">
        <v>48</v>
      </c>
      <c r="C107" s="22"/>
      <c r="D107" s="18" t="s">
        <v>49</v>
      </c>
      <c r="E107" s="5"/>
      <c r="F107" s="5"/>
    </row>
    <row r="108" spans="2:6" x14ac:dyDescent="0.25">
      <c r="B108" s="23" t="s">
        <v>50</v>
      </c>
      <c r="C108" s="23" t="s">
        <v>51</v>
      </c>
      <c r="D108" s="23" t="s">
        <v>52</v>
      </c>
      <c r="E108" s="23" t="s">
        <v>53</v>
      </c>
      <c r="F108" s="23" t="s">
        <v>54</v>
      </c>
    </row>
    <row r="109" spans="2:17" x14ac:dyDescent="0.25">
      <c r="B109" s="24">
        <v>1</v>
      </c>
      <c r="C109" s="22"/>
      <c r="D109" s="22"/>
      <c r="E109" s="22"/>
      <c r="F109" s="22"/>
      <c r="Q109">
        <f>IF(AND($E109="",COUNTA($C109:$D109,$F109)&gt;0),1,0)</f>
      </c>
    </row>
    <row r="110" spans="2:17" x14ac:dyDescent="0.25">
      <c r="B110" s="24">
        <v>2</v>
      </c>
      <c r="C110" s="22"/>
      <c r="D110" s="22"/>
      <c r="E110" s="22"/>
      <c r="F110" s="22"/>
      <c r="Q110">
        <f>IF(AND($E110="",COUNTA($C110:$D110,$F110)&gt;0),1,0)</f>
      </c>
    </row>
    <row r="111" spans="2:17" x14ac:dyDescent="0.25">
      <c r="B111" s="24">
        <v>3</v>
      </c>
      <c r="C111" s="22"/>
      <c r="D111" s="22"/>
      <c r="E111" s="22"/>
      <c r="F111" s="22"/>
      <c r="Q111">
        <f>IF(AND($E111="",COUNTA($C111:$D111,$F111)&gt;0),1,0)</f>
      </c>
    </row>
    <row r="112" spans="2:17" x14ac:dyDescent="0.25">
      <c r="B112" s="24">
        <v>4</v>
      </c>
      <c r="C112" s="22"/>
      <c r="D112" s="22"/>
      <c r="E112" s="22"/>
      <c r="F112" s="22"/>
      <c r="Q112">
        <f>IF(AND($E112="",COUNTA($C112:$D112,$F112)&gt;0),1,0)</f>
      </c>
    </row>
    <row r="113" spans="2:17" x14ac:dyDescent="0.25">
      <c r="B113" s="24">
        <v>5</v>
      </c>
      <c r="C113" s="22"/>
      <c r="D113" s="22"/>
      <c r="E113" s="22"/>
      <c r="F113" s="22"/>
      <c r="Q113">
        <f>IF(AND($E113="",COUNTA($C113:$D113,$F113)&gt;0),1,0)</f>
      </c>
    </row>
    <row r="114" spans="2:17" x14ac:dyDescent="0.25">
      <c r="B114" s="24">
        <v>6</v>
      </c>
      <c r="C114" s="22"/>
      <c r="D114" s="22"/>
      <c r="E114" s="22"/>
      <c r="F114" s="22"/>
      <c r="Q114">
        <f>IF(AND($E114="",COUNTA($C114:$D114,$F114)&gt;0),1,0)</f>
      </c>
    </row>
    <row r="115" spans="2:17" x14ac:dyDescent="0.25">
      <c r="B115" s="24">
        <v>7</v>
      </c>
      <c r="C115" s="22"/>
      <c r="D115" s="22"/>
      <c r="E115" s="22"/>
      <c r="F115" s="22"/>
      <c r="Q115">
        <f>IF(AND($E115="",COUNTA($C115:$D115,$F115)&gt;0),1,0)</f>
      </c>
    </row>
    <row r="116" spans="2:17" x14ac:dyDescent="0.25">
      <c r="B116" s="24">
        <v>8</v>
      </c>
      <c r="C116" s="22"/>
      <c r="D116" s="22"/>
      <c r="E116" s="22"/>
      <c r="F116" s="22"/>
      <c r="Q116">
        <f>IF(AND($E116="",COUNTA($C116:$D116,$F116)&gt;0),1,0)</f>
      </c>
    </row>
    <row r="118" spans="2:6" x14ac:dyDescent="0.25">
      <c r="B118" s="18" t="s">
        <v>44</v>
      </c>
      <c r="C118" s="19"/>
      <c r="D118" s="19"/>
      <c r="E118" s="5"/>
      <c r="F118" s="5"/>
    </row>
    <row r="119" ht="24" customHeight="1" spans="2:16" x14ac:dyDescent="0.25">
      <c r="B119" s="20" t="s">
        <v>62</v>
      </c>
      <c r="C119" s="21"/>
      <c r="D119" s="21"/>
      <c r="E119" s="21"/>
      <c r="F119" s="21"/>
      <c r="G119" s="4">
        <f>IFERROR(IF(AND($C$119="",$C$120=""),IF(COUNTA($C$118:$F$118,$E$121,$C$123:$F$130)+COUNTA($E$120,$C$121)&gt;0,"⚠ Pick an exercise for this card",""),IF(AND($C$119&lt;&gt;"",$C$120&lt;&gt;""),"⚠ Use the library OR a custom exercise, not both",IF(AND($C$120&lt;&gt;"",$E$120=""),"⚠ Pick a muscle group for the custom exercise",IF(COUNT($E$123:$E$130)=0,"⚠ Enter Goal Reps for at least one set",IF(SUM($Q$123:$Q$130)&gt;0,"⚠ A set is missing Goal Reps",IF(IF($C$121="",1=0,COUNTIF($P$7:$P$214,$C$121)&lt;2),"⚠ Superset "&amp;$C$121&amp;" needs 2+ exercises",IF($C$119&lt;&gt;"",IFERROR("✓ "&amp;INDEX('Exercise Library'!$C$2:$C$319,MATCH($C$119,'Exercise Library'!$B$2:$B$319,0))&amp;IF(INDEX('Exercise Library'!$D$2:$D$319,MATCH($C$119,'Exercise Library'!$B$2:$B$319,0))="Yes"," · demo video","")&amp;" · "&amp;COUNT($E$123:$E$130)&amp;" sets","⚠ Not in the library — use Custom"),"✓ Custom ("&amp;$E$120&amp;") · "&amp;COUNT($E$123:$E$130)&amp;" sets"))))))),"⚠ Check this row")</f>
      </c>
      <c r="P119">
        <f>IF(OR($C$119&lt;&gt;"",$C$120&lt;&gt;""),$C$121,"")</f>
      </c>
    </row>
    <row r="120" spans="2:6" x14ac:dyDescent="0.25">
      <c r="B120" s="18" t="s">
        <v>46</v>
      </c>
      <c r="C120" s="5"/>
      <c r="D120" s="5"/>
      <c r="E120" s="5"/>
      <c r="F120" s="18" t="s">
        <v>47</v>
      </c>
    </row>
    <row r="121" ht="22" customHeight="1" spans="2:6" x14ac:dyDescent="0.25">
      <c r="B121" s="18" t="s">
        <v>48</v>
      </c>
      <c r="C121" s="22"/>
      <c r="D121" s="18" t="s">
        <v>49</v>
      </c>
      <c r="E121" s="5"/>
      <c r="F121" s="5"/>
    </row>
    <row r="122" spans="2:6" x14ac:dyDescent="0.25">
      <c r="B122" s="23" t="s">
        <v>50</v>
      </c>
      <c r="C122" s="23" t="s">
        <v>51</v>
      </c>
      <c r="D122" s="23" t="s">
        <v>52</v>
      </c>
      <c r="E122" s="23" t="s">
        <v>53</v>
      </c>
      <c r="F122" s="23" t="s">
        <v>54</v>
      </c>
    </row>
    <row r="123" spans="2:17" x14ac:dyDescent="0.25">
      <c r="B123" s="24">
        <v>1</v>
      </c>
      <c r="C123" s="22"/>
      <c r="D123" s="22"/>
      <c r="E123" s="22"/>
      <c r="F123" s="22"/>
      <c r="Q123">
        <f>IF(AND($E123="",COUNTA($C123:$D123,$F123)&gt;0),1,0)</f>
      </c>
    </row>
    <row r="124" spans="2:17" x14ac:dyDescent="0.25">
      <c r="B124" s="24">
        <v>2</v>
      </c>
      <c r="C124" s="22"/>
      <c r="D124" s="22"/>
      <c r="E124" s="22"/>
      <c r="F124" s="22"/>
      <c r="Q124">
        <f>IF(AND($E124="",COUNTA($C124:$D124,$F124)&gt;0),1,0)</f>
      </c>
    </row>
    <row r="125" spans="2:17" x14ac:dyDescent="0.25">
      <c r="B125" s="24">
        <v>3</v>
      </c>
      <c r="C125" s="22"/>
      <c r="D125" s="22"/>
      <c r="E125" s="22"/>
      <c r="F125" s="22"/>
      <c r="Q125">
        <f>IF(AND($E125="",COUNTA($C125:$D125,$F125)&gt;0),1,0)</f>
      </c>
    </row>
    <row r="126" spans="2:17" x14ac:dyDescent="0.25">
      <c r="B126" s="24">
        <v>4</v>
      </c>
      <c r="C126" s="22"/>
      <c r="D126" s="22"/>
      <c r="E126" s="22"/>
      <c r="F126" s="22"/>
      <c r="Q126">
        <f>IF(AND($E126="",COUNTA($C126:$D126,$F126)&gt;0),1,0)</f>
      </c>
    </row>
    <row r="127" spans="2:17" x14ac:dyDescent="0.25">
      <c r="B127" s="24">
        <v>5</v>
      </c>
      <c r="C127" s="22"/>
      <c r="D127" s="22"/>
      <c r="E127" s="22"/>
      <c r="F127" s="22"/>
      <c r="Q127">
        <f>IF(AND($E127="",COUNTA($C127:$D127,$F127)&gt;0),1,0)</f>
      </c>
    </row>
    <row r="128" spans="2:17" x14ac:dyDescent="0.25">
      <c r="B128" s="24">
        <v>6</v>
      </c>
      <c r="C128" s="22"/>
      <c r="D128" s="22"/>
      <c r="E128" s="22"/>
      <c r="F128" s="22"/>
      <c r="Q128">
        <f>IF(AND($E128="",COUNTA($C128:$D128,$F128)&gt;0),1,0)</f>
      </c>
    </row>
    <row r="129" spans="2:17" x14ac:dyDescent="0.25">
      <c r="B129" s="24">
        <v>7</v>
      </c>
      <c r="C129" s="22"/>
      <c r="D129" s="22"/>
      <c r="E129" s="22"/>
      <c r="F129" s="22"/>
      <c r="Q129">
        <f>IF(AND($E129="",COUNTA($C129:$D129,$F129)&gt;0),1,0)</f>
      </c>
    </row>
    <row r="130" spans="2:17" x14ac:dyDescent="0.25">
      <c r="B130" s="24">
        <v>8</v>
      </c>
      <c r="C130" s="22"/>
      <c r="D130" s="22"/>
      <c r="E130" s="22"/>
      <c r="F130" s="22"/>
      <c r="Q130">
        <f>IF(AND($E130="",COUNTA($C130:$D130,$F130)&gt;0),1,0)</f>
      </c>
    </row>
    <row r="132" spans="2:6" x14ac:dyDescent="0.25">
      <c r="B132" s="18" t="s">
        <v>44</v>
      </c>
      <c r="C132" s="19"/>
      <c r="D132" s="19"/>
      <c r="E132" s="5"/>
      <c r="F132" s="5"/>
    </row>
    <row r="133" ht="24" customHeight="1" spans="2:16" x14ac:dyDescent="0.25">
      <c r="B133" s="20" t="s">
        <v>63</v>
      </c>
      <c r="C133" s="21"/>
      <c r="D133" s="21"/>
      <c r="E133" s="21"/>
      <c r="F133" s="21"/>
      <c r="G133" s="4">
        <f>IFERROR(IF(AND($C$133="",$C$134=""),IF(COUNTA($C$132:$F$132,$E$135,$C$137:$F$144)+COUNTA($E$134,$C$135)&gt;0,"⚠ Pick an exercise for this card",""),IF(AND($C$133&lt;&gt;"",$C$134&lt;&gt;""),"⚠ Use the library OR a custom exercise, not both",IF(AND($C$134&lt;&gt;"",$E$134=""),"⚠ Pick a muscle group for the custom exercise",IF(COUNT($E$137:$E$144)=0,"⚠ Enter Goal Reps for at least one set",IF(SUM($Q$137:$Q$144)&gt;0,"⚠ A set is missing Goal Reps",IF(IF($C$135="",1=0,COUNTIF($P$7:$P$214,$C$135)&lt;2),"⚠ Superset "&amp;$C$135&amp;" needs 2+ exercises",IF($C$133&lt;&gt;"",IFERROR("✓ "&amp;INDEX('Exercise Library'!$C$2:$C$319,MATCH($C$133,'Exercise Library'!$B$2:$B$319,0))&amp;IF(INDEX('Exercise Library'!$D$2:$D$319,MATCH($C$133,'Exercise Library'!$B$2:$B$319,0))="Yes"," · demo video","")&amp;" · "&amp;COUNT($E$137:$E$144)&amp;" sets","⚠ Not in the library — use Custom"),"✓ Custom ("&amp;$E$134&amp;") · "&amp;COUNT($E$137:$E$144)&amp;" sets"))))))),"⚠ Check this row")</f>
      </c>
      <c r="P133">
        <f>IF(OR($C$133&lt;&gt;"",$C$134&lt;&gt;""),$C$135,"")</f>
      </c>
    </row>
    <row r="134" spans="2:6" x14ac:dyDescent="0.25">
      <c r="B134" s="18" t="s">
        <v>46</v>
      </c>
      <c r="C134" s="5"/>
      <c r="D134" s="5"/>
      <c r="E134" s="5"/>
      <c r="F134" s="18" t="s">
        <v>47</v>
      </c>
    </row>
    <row r="135" ht="22" customHeight="1" spans="2:6" x14ac:dyDescent="0.25">
      <c r="B135" s="18" t="s">
        <v>48</v>
      </c>
      <c r="C135" s="22"/>
      <c r="D135" s="18" t="s">
        <v>49</v>
      </c>
      <c r="E135" s="5"/>
      <c r="F135" s="5"/>
    </row>
    <row r="136" spans="2:6" x14ac:dyDescent="0.25">
      <c r="B136" s="23" t="s">
        <v>50</v>
      </c>
      <c r="C136" s="23" t="s">
        <v>51</v>
      </c>
      <c r="D136" s="23" t="s">
        <v>52</v>
      </c>
      <c r="E136" s="23" t="s">
        <v>53</v>
      </c>
      <c r="F136" s="23" t="s">
        <v>54</v>
      </c>
    </row>
    <row r="137" spans="2:17" x14ac:dyDescent="0.25">
      <c r="B137" s="24">
        <v>1</v>
      </c>
      <c r="C137" s="22"/>
      <c r="D137" s="22"/>
      <c r="E137" s="22"/>
      <c r="F137" s="22"/>
      <c r="Q137">
        <f>IF(AND($E137="",COUNTA($C137:$D137,$F137)&gt;0),1,0)</f>
      </c>
    </row>
    <row r="138" spans="2:17" x14ac:dyDescent="0.25">
      <c r="B138" s="24">
        <v>2</v>
      </c>
      <c r="C138" s="22"/>
      <c r="D138" s="22"/>
      <c r="E138" s="22"/>
      <c r="F138" s="22"/>
      <c r="Q138">
        <f>IF(AND($E138="",COUNTA($C138:$D138,$F138)&gt;0),1,0)</f>
      </c>
    </row>
    <row r="139" spans="2:17" x14ac:dyDescent="0.25">
      <c r="B139" s="24">
        <v>3</v>
      </c>
      <c r="C139" s="22"/>
      <c r="D139" s="22"/>
      <c r="E139" s="22"/>
      <c r="F139" s="22"/>
      <c r="Q139">
        <f>IF(AND($E139="",COUNTA($C139:$D139,$F139)&gt;0),1,0)</f>
      </c>
    </row>
    <row r="140" spans="2:17" x14ac:dyDescent="0.25">
      <c r="B140" s="24">
        <v>4</v>
      </c>
      <c r="C140" s="22"/>
      <c r="D140" s="22"/>
      <c r="E140" s="22"/>
      <c r="F140" s="22"/>
      <c r="Q140">
        <f>IF(AND($E140="",COUNTA($C140:$D140,$F140)&gt;0),1,0)</f>
      </c>
    </row>
    <row r="141" spans="2:17" x14ac:dyDescent="0.25">
      <c r="B141" s="24">
        <v>5</v>
      </c>
      <c r="C141" s="22"/>
      <c r="D141" s="22"/>
      <c r="E141" s="22"/>
      <c r="F141" s="22"/>
      <c r="Q141">
        <f>IF(AND($E141="",COUNTA($C141:$D141,$F141)&gt;0),1,0)</f>
      </c>
    </row>
    <row r="142" spans="2:17" x14ac:dyDescent="0.25">
      <c r="B142" s="24">
        <v>6</v>
      </c>
      <c r="C142" s="22"/>
      <c r="D142" s="22"/>
      <c r="E142" s="22"/>
      <c r="F142" s="22"/>
      <c r="Q142">
        <f>IF(AND($E142="",COUNTA($C142:$D142,$F142)&gt;0),1,0)</f>
      </c>
    </row>
    <row r="143" spans="2:17" x14ac:dyDescent="0.25">
      <c r="B143" s="24">
        <v>7</v>
      </c>
      <c r="C143" s="22"/>
      <c r="D143" s="22"/>
      <c r="E143" s="22"/>
      <c r="F143" s="22"/>
      <c r="Q143">
        <f>IF(AND($E143="",COUNTA($C143:$D143,$F143)&gt;0),1,0)</f>
      </c>
    </row>
    <row r="144" spans="2:17" x14ac:dyDescent="0.25">
      <c r="B144" s="24">
        <v>8</v>
      </c>
      <c r="C144" s="22"/>
      <c r="D144" s="22"/>
      <c r="E144" s="22"/>
      <c r="F144" s="22"/>
      <c r="Q144">
        <f>IF(AND($E144="",COUNTA($C144:$D144,$F144)&gt;0),1,0)</f>
      </c>
    </row>
    <row r="146" spans="2:6" x14ac:dyDescent="0.25">
      <c r="B146" s="18" t="s">
        <v>44</v>
      </c>
      <c r="C146" s="19"/>
      <c r="D146" s="19"/>
      <c r="E146" s="5"/>
      <c r="F146" s="5"/>
    </row>
    <row r="147" ht="24" customHeight="1" spans="2:16" x14ac:dyDescent="0.25">
      <c r="B147" s="20" t="s">
        <v>64</v>
      </c>
      <c r="C147" s="21"/>
      <c r="D147" s="21"/>
      <c r="E147" s="21"/>
      <c r="F147" s="21"/>
      <c r="G147" s="4">
        <f>IFERROR(IF(AND($C$147="",$C$148=""),IF(COUNTA($C$146:$F$146,$E$149,$C$151:$F$158)+COUNTA($E$148,$C$149)&gt;0,"⚠ Pick an exercise for this card",""),IF(AND($C$147&lt;&gt;"",$C$148&lt;&gt;""),"⚠ Use the library OR a custom exercise, not both",IF(AND($C$148&lt;&gt;"",$E$148=""),"⚠ Pick a muscle group for the custom exercise",IF(COUNT($E$151:$E$158)=0,"⚠ Enter Goal Reps for at least one set",IF(SUM($Q$151:$Q$158)&gt;0,"⚠ A set is missing Goal Reps",IF(IF($C$149="",1=0,COUNTIF($P$7:$P$214,$C$149)&lt;2),"⚠ Superset "&amp;$C$149&amp;" needs 2+ exercises",IF($C$147&lt;&gt;"",IFERROR("✓ "&amp;INDEX('Exercise Library'!$C$2:$C$319,MATCH($C$147,'Exercise Library'!$B$2:$B$319,0))&amp;IF(INDEX('Exercise Library'!$D$2:$D$319,MATCH($C$147,'Exercise Library'!$B$2:$B$319,0))="Yes"," · demo video","")&amp;" · "&amp;COUNT($E$151:$E$158)&amp;" sets","⚠ Not in the library — use Custom"),"✓ Custom ("&amp;$E$148&amp;") · "&amp;COUNT($E$151:$E$158)&amp;" sets"))))))),"⚠ Check this row")</f>
      </c>
      <c r="P147">
        <f>IF(OR($C$147&lt;&gt;"",$C$148&lt;&gt;""),$C$149,"")</f>
      </c>
    </row>
    <row r="148" spans="2:6" x14ac:dyDescent="0.25">
      <c r="B148" s="18" t="s">
        <v>46</v>
      </c>
      <c r="C148" s="5"/>
      <c r="D148" s="5"/>
      <c r="E148" s="5"/>
      <c r="F148" s="18" t="s">
        <v>47</v>
      </c>
    </row>
    <row r="149" ht="22" customHeight="1" spans="2:6" x14ac:dyDescent="0.25">
      <c r="B149" s="18" t="s">
        <v>48</v>
      </c>
      <c r="C149" s="22"/>
      <c r="D149" s="18" t="s">
        <v>49</v>
      </c>
      <c r="E149" s="5"/>
      <c r="F149" s="5"/>
    </row>
    <row r="150" spans="2:6" x14ac:dyDescent="0.25">
      <c r="B150" s="23" t="s">
        <v>50</v>
      </c>
      <c r="C150" s="23" t="s">
        <v>51</v>
      </c>
      <c r="D150" s="23" t="s">
        <v>52</v>
      </c>
      <c r="E150" s="23" t="s">
        <v>53</v>
      </c>
      <c r="F150" s="23" t="s">
        <v>54</v>
      </c>
    </row>
    <row r="151" spans="2:17" x14ac:dyDescent="0.25">
      <c r="B151" s="24">
        <v>1</v>
      </c>
      <c r="C151" s="22"/>
      <c r="D151" s="22"/>
      <c r="E151" s="22"/>
      <c r="F151" s="22"/>
      <c r="Q151">
        <f>IF(AND($E151="",COUNTA($C151:$D151,$F151)&gt;0),1,0)</f>
      </c>
    </row>
    <row r="152" spans="2:17" x14ac:dyDescent="0.25">
      <c r="B152" s="24">
        <v>2</v>
      </c>
      <c r="C152" s="22"/>
      <c r="D152" s="22"/>
      <c r="E152" s="22"/>
      <c r="F152" s="22"/>
      <c r="Q152">
        <f>IF(AND($E152="",COUNTA($C152:$D152,$F152)&gt;0),1,0)</f>
      </c>
    </row>
    <row r="153" spans="2:17" x14ac:dyDescent="0.25">
      <c r="B153" s="24">
        <v>3</v>
      </c>
      <c r="C153" s="22"/>
      <c r="D153" s="22"/>
      <c r="E153" s="22"/>
      <c r="F153" s="22"/>
      <c r="Q153">
        <f>IF(AND($E153="",COUNTA($C153:$D153,$F153)&gt;0),1,0)</f>
      </c>
    </row>
    <row r="154" spans="2:17" x14ac:dyDescent="0.25">
      <c r="B154" s="24">
        <v>4</v>
      </c>
      <c r="C154" s="22"/>
      <c r="D154" s="22"/>
      <c r="E154" s="22"/>
      <c r="F154" s="22"/>
      <c r="Q154">
        <f>IF(AND($E154="",COUNTA($C154:$D154,$F154)&gt;0),1,0)</f>
      </c>
    </row>
    <row r="155" spans="2:17" x14ac:dyDescent="0.25">
      <c r="B155" s="24">
        <v>5</v>
      </c>
      <c r="C155" s="22"/>
      <c r="D155" s="22"/>
      <c r="E155" s="22"/>
      <c r="F155" s="22"/>
      <c r="Q155">
        <f>IF(AND($E155="",COUNTA($C155:$D155,$F155)&gt;0),1,0)</f>
      </c>
    </row>
    <row r="156" spans="2:17" x14ac:dyDescent="0.25">
      <c r="B156" s="24">
        <v>6</v>
      </c>
      <c r="C156" s="22"/>
      <c r="D156" s="22"/>
      <c r="E156" s="22"/>
      <c r="F156" s="22"/>
      <c r="Q156">
        <f>IF(AND($E156="",COUNTA($C156:$D156,$F156)&gt;0),1,0)</f>
      </c>
    </row>
    <row r="157" spans="2:17" x14ac:dyDescent="0.25">
      <c r="B157" s="24">
        <v>7</v>
      </c>
      <c r="C157" s="22"/>
      <c r="D157" s="22"/>
      <c r="E157" s="22"/>
      <c r="F157" s="22"/>
      <c r="Q157">
        <f>IF(AND($E157="",COUNTA($C157:$D157,$F157)&gt;0),1,0)</f>
      </c>
    </row>
    <row r="158" spans="2:17" x14ac:dyDescent="0.25">
      <c r="B158" s="24">
        <v>8</v>
      </c>
      <c r="C158" s="22"/>
      <c r="D158" s="22"/>
      <c r="E158" s="22"/>
      <c r="F158" s="22"/>
      <c r="Q158">
        <f>IF(AND($E158="",COUNTA($C158:$D158,$F158)&gt;0),1,0)</f>
      </c>
    </row>
    <row r="160" spans="2:6" x14ac:dyDescent="0.25">
      <c r="B160" s="18" t="s">
        <v>44</v>
      </c>
      <c r="C160" s="19"/>
      <c r="D160" s="19"/>
      <c r="E160" s="5"/>
      <c r="F160" s="5"/>
    </row>
    <row r="161" ht="24" customHeight="1" spans="2:16" x14ac:dyDescent="0.25">
      <c r="B161" s="20" t="s">
        <v>65</v>
      </c>
      <c r="C161" s="21"/>
      <c r="D161" s="21"/>
      <c r="E161" s="21"/>
      <c r="F161" s="21"/>
      <c r="G161" s="4">
        <f>IFERROR(IF(AND($C$161="",$C$162=""),IF(COUNTA($C$160:$F$160,$E$163,$C$165:$F$172)+COUNTA($E$162,$C$163)&gt;0,"⚠ Pick an exercise for this card",""),IF(AND($C$161&lt;&gt;"",$C$162&lt;&gt;""),"⚠ Use the library OR a custom exercise, not both",IF(AND($C$162&lt;&gt;"",$E$162=""),"⚠ Pick a muscle group for the custom exercise",IF(COUNT($E$165:$E$172)=0,"⚠ Enter Goal Reps for at least one set",IF(SUM($Q$165:$Q$172)&gt;0,"⚠ A set is missing Goal Reps",IF(IF($C$163="",1=0,COUNTIF($P$7:$P$214,$C$163)&lt;2),"⚠ Superset "&amp;$C$163&amp;" needs 2+ exercises",IF($C$161&lt;&gt;"",IFERROR("✓ "&amp;INDEX('Exercise Library'!$C$2:$C$319,MATCH($C$161,'Exercise Library'!$B$2:$B$319,0))&amp;IF(INDEX('Exercise Library'!$D$2:$D$319,MATCH($C$161,'Exercise Library'!$B$2:$B$319,0))="Yes"," · demo video","")&amp;" · "&amp;COUNT($E$165:$E$172)&amp;" sets","⚠ Not in the library — use Custom"),"✓ Custom ("&amp;$E$162&amp;") · "&amp;COUNT($E$165:$E$172)&amp;" sets"))))))),"⚠ Check this row")</f>
      </c>
      <c r="P161">
        <f>IF(OR($C$161&lt;&gt;"",$C$162&lt;&gt;""),$C$163,"")</f>
      </c>
    </row>
    <row r="162" spans="2:6" x14ac:dyDescent="0.25">
      <c r="B162" s="18" t="s">
        <v>46</v>
      </c>
      <c r="C162" s="5"/>
      <c r="D162" s="5"/>
      <c r="E162" s="5"/>
      <c r="F162" s="18" t="s">
        <v>47</v>
      </c>
    </row>
    <row r="163" ht="22" customHeight="1" spans="2:6" x14ac:dyDescent="0.25">
      <c r="B163" s="18" t="s">
        <v>48</v>
      </c>
      <c r="C163" s="22"/>
      <c r="D163" s="18" t="s">
        <v>49</v>
      </c>
      <c r="E163" s="5"/>
      <c r="F163" s="5"/>
    </row>
    <row r="164" spans="2:6" x14ac:dyDescent="0.25">
      <c r="B164" s="23" t="s">
        <v>50</v>
      </c>
      <c r="C164" s="23" t="s">
        <v>51</v>
      </c>
      <c r="D164" s="23" t="s">
        <v>52</v>
      </c>
      <c r="E164" s="23" t="s">
        <v>53</v>
      </c>
      <c r="F164" s="23" t="s">
        <v>54</v>
      </c>
    </row>
    <row r="165" spans="2:17" x14ac:dyDescent="0.25">
      <c r="B165" s="24">
        <v>1</v>
      </c>
      <c r="C165" s="22"/>
      <c r="D165" s="22"/>
      <c r="E165" s="22"/>
      <c r="F165" s="22"/>
      <c r="Q165">
        <f>IF(AND($E165="",COUNTA($C165:$D165,$F165)&gt;0),1,0)</f>
      </c>
    </row>
    <row r="166" spans="2:17" x14ac:dyDescent="0.25">
      <c r="B166" s="24">
        <v>2</v>
      </c>
      <c r="C166" s="22"/>
      <c r="D166" s="22"/>
      <c r="E166" s="22"/>
      <c r="F166" s="22"/>
      <c r="Q166">
        <f>IF(AND($E166="",COUNTA($C166:$D166,$F166)&gt;0),1,0)</f>
      </c>
    </row>
    <row r="167" spans="2:17" x14ac:dyDescent="0.25">
      <c r="B167" s="24">
        <v>3</v>
      </c>
      <c r="C167" s="22"/>
      <c r="D167" s="22"/>
      <c r="E167" s="22"/>
      <c r="F167" s="22"/>
      <c r="Q167">
        <f>IF(AND($E167="",COUNTA($C167:$D167,$F167)&gt;0),1,0)</f>
      </c>
    </row>
    <row r="168" spans="2:17" x14ac:dyDescent="0.25">
      <c r="B168" s="24">
        <v>4</v>
      </c>
      <c r="C168" s="22"/>
      <c r="D168" s="22"/>
      <c r="E168" s="22"/>
      <c r="F168" s="22"/>
      <c r="Q168">
        <f>IF(AND($E168="",COUNTA($C168:$D168,$F168)&gt;0),1,0)</f>
      </c>
    </row>
    <row r="169" spans="2:17" x14ac:dyDescent="0.25">
      <c r="B169" s="24">
        <v>5</v>
      </c>
      <c r="C169" s="22"/>
      <c r="D169" s="22"/>
      <c r="E169" s="22"/>
      <c r="F169" s="22"/>
      <c r="Q169">
        <f>IF(AND($E169="",COUNTA($C169:$D169,$F169)&gt;0),1,0)</f>
      </c>
    </row>
    <row r="170" spans="2:17" x14ac:dyDescent="0.25">
      <c r="B170" s="24">
        <v>6</v>
      </c>
      <c r="C170" s="22"/>
      <c r="D170" s="22"/>
      <c r="E170" s="22"/>
      <c r="F170" s="22"/>
      <c r="Q170">
        <f>IF(AND($E170="",COUNTA($C170:$D170,$F170)&gt;0),1,0)</f>
      </c>
    </row>
    <row r="171" spans="2:17" x14ac:dyDescent="0.25">
      <c r="B171" s="24">
        <v>7</v>
      </c>
      <c r="C171" s="22"/>
      <c r="D171" s="22"/>
      <c r="E171" s="22"/>
      <c r="F171" s="22"/>
      <c r="Q171">
        <f>IF(AND($E171="",COUNTA($C171:$D171,$F171)&gt;0),1,0)</f>
      </c>
    </row>
    <row r="172" spans="2:17" x14ac:dyDescent="0.25">
      <c r="B172" s="24">
        <v>8</v>
      </c>
      <c r="C172" s="22"/>
      <c r="D172" s="22"/>
      <c r="E172" s="22"/>
      <c r="F172" s="22"/>
      <c r="Q172">
        <f>IF(AND($E172="",COUNTA($C172:$D172,$F172)&gt;0),1,0)</f>
      </c>
    </row>
    <row r="174" spans="2:6" x14ac:dyDescent="0.25">
      <c r="B174" s="18" t="s">
        <v>44</v>
      </c>
      <c r="C174" s="19"/>
      <c r="D174" s="19"/>
      <c r="E174" s="5"/>
      <c r="F174" s="5"/>
    </row>
    <row r="175" ht="24" customHeight="1" spans="2:16" x14ac:dyDescent="0.25">
      <c r="B175" s="20" t="s">
        <v>66</v>
      </c>
      <c r="C175" s="21"/>
      <c r="D175" s="21"/>
      <c r="E175" s="21"/>
      <c r="F175" s="21"/>
      <c r="G175" s="4">
        <f>IFERROR(IF(AND($C$175="",$C$176=""),IF(COUNTA($C$174:$F$174,$E$177,$C$179:$F$186)+COUNTA($E$176,$C$177)&gt;0,"⚠ Pick an exercise for this card",""),IF(AND($C$175&lt;&gt;"",$C$176&lt;&gt;""),"⚠ Use the library OR a custom exercise, not both",IF(AND($C$176&lt;&gt;"",$E$176=""),"⚠ Pick a muscle group for the custom exercise",IF(COUNT($E$179:$E$186)=0,"⚠ Enter Goal Reps for at least one set",IF(SUM($Q$179:$Q$186)&gt;0,"⚠ A set is missing Goal Reps",IF(IF($C$177="",1=0,COUNTIF($P$7:$P$214,$C$177)&lt;2),"⚠ Superset "&amp;$C$177&amp;" needs 2+ exercises",IF($C$175&lt;&gt;"",IFERROR("✓ "&amp;INDEX('Exercise Library'!$C$2:$C$319,MATCH($C$175,'Exercise Library'!$B$2:$B$319,0))&amp;IF(INDEX('Exercise Library'!$D$2:$D$319,MATCH($C$175,'Exercise Library'!$B$2:$B$319,0))="Yes"," · demo video","")&amp;" · "&amp;COUNT($E$179:$E$186)&amp;" sets","⚠ Not in the library — use Custom"),"✓ Custom ("&amp;$E$176&amp;") · "&amp;COUNT($E$179:$E$186)&amp;" sets"))))))),"⚠ Check this row")</f>
      </c>
      <c r="P175">
        <f>IF(OR($C$175&lt;&gt;"",$C$176&lt;&gt;""),$C$177,"")</f>
      </c>
    </row>
    <row r="176" spans="2:6" x14ac:dyDescent="0.25">
      <c r="B176" s="18" t="s">
        <v>46</v>
      </c>
      <c r="C176" s="5"/>
      <c r="D176" s="5"/>
      <c r="E176" s="5"/>
      <c r="F176" s="18" t="s">
        <v>47</v>
      </c>
    </row>
    <row r="177" ht="22" customHeight="1" spans="2:6" x14ac:dyDescent="0.25">
      <c r="B177" s="18" t="s">
        <v>48</v>
      </c>
      <c r="C177" s="22"/>
      <c r="D177" s="18" t="s">
        <v>49</v>
      </c>
      <c r="E177" s="5"/>
      <c r="F177" s="5"/>
    </row>
    <row r="178" spans="2:6" x14ac:dyDescent="0.25">
      <c r="B178" s="23" t="s">
        <v>50</v>
      </c>
      <c r="C178" s="23" t="s">
        <v>51</v>
      </c>
      <c r="D178" s="23" t="s">
        <v>52</v>
      </c>
      <c r="E178" s="23" t="s">
        <v>53</v>
      </c>
      <c r="F178" s="23" t="s">
        <v>54</v>
      </c>
    </row>
    <row r="179" spans="2:17" x14ac:dyDescent="0.25">
      <c r="B179" s="24">
        <v>1</v>
      </c>
      <c r="C179" s="22"/>
      <c r="D179" s="22"/>
      <c r="E179" s="22"/>
      <c r="F179" s="22"/>
      <c r="Q179">
        <f>IF(AND($E179="",COUNTA($C179:$D179,$F179)&gt;0),1,0)</f>
      </c>
    </row>
    <row r="180" spans="2:17" x14ac:dyDescent="0.25">
      <c r="B180" s="24">
        <v>2</v>
      </c>
      <c r="C180" s="22"/>
      <c r="D180" s="22"/>
      <c r="E180" s="22"/>
      <c r="F180" s="22"/>
      <c r="Q180">
        <f>IF(AND($E180="",COUNTA($C180:$D180,$F180)&gt;0),1,0)</f>
      </c>
    </row>
    <row r="181" spans="2:17" x14ac:dyDescent="0.25">
      <c r="B181" s="24">
        <v>3</v>
      </c>
      <c r="C181" s="22"/>
      <c r="D181" s="22"/>
      <c r="E181" s="22"/>
      <c r="F181" s="22"/>
      <c r="Q181">
        <f>IF(AND($E181="",COUNTA($C181:$D181,$F181)&gt;0),1,0)</f>
      </c>
    </row>
    <row r="182" spans="2:17" x14ac:dyDescent="0.25">
      <c r="B182" s="24">
        <v>4</v>
      </c>
      <c r="C182" s="22"/>
      <c r="D182" s="22"/>
      <c r="E182" s="22"/>
      <c r="F182" s="22"/>
      <c r="Q182">
        <f>IF(AND($E182="",COUNTA($C182:$D182,$F182)&gt;0),1,0)</f>
      </c>
    </row>
    <row r="183" spans="2:17" x14ac:dyDescent="0.25">
      <c r="B183" s="24">
        <v>5</v>
      </c>
      <c r="C183" s="22"/>
      <c r="D183" s="22"/>
      <c r="E183" s="22"/>
      <c r="F183" s="22"/>
      <c r="Q183">
        <f>IF(AND($E183="",COUNTA($C183:$D183,$F183)&gt;0),1,0)</f>
      </c>
    </row>
    <row r="184" spans="2:17" x14ac:dyDescent="0.25">
      <c r="B184" s="24">
        <v>6</v>
      </c>
      <c r="C184" s="22"/>
      <c r="D184" s="22"/>
      <c r="E184" s="22"/>
      <c r="F184" s="22"/>
      <c r="Q184">
        <f>IF(AND($E184="",COUNTA($C184:$D184,$F184)&gt;0),1,0)</f>
      </c>
    </row>
    <row r="185" spans="2:17" x14ac:dyDescent="0.25">
      <c r="B185" s="24">
        <v>7</v>
      </c>
      <c r="C185" s="22"/>
      <c r="D185" s="22"/>
      <c r="E185" s="22"/>
      <c r="F185" s="22"/>
      <c r="Q185">
        <f>IF(AND($E185="",COUNTA($C185:$D185,$F185)&gt;0),1,0)</f>
      </c>
    </row>
    <row r="186" spans="2:17" x14ac:dyDescent="0.25">
      <c r="B186" s="24">
        <v>8</v>
      </c>
      <c r="C186" s="22"/>
      <c r="D186" s="22"/>
      <c r="E186" s="22"/>
      <c r="F186" s="22"/>
      <c r="Q186">
        <f>IF(AND($E186="",COUNTA($C186:$D186,$F186)&gt;0),1,0)</f>
      </c>
    </row>
    <row r="188" spans="2:6" x14ac:dyDescent="0.25">
      <c r="B188" s="18" t="s">
        <v>44</v>
      </c>
      <c r="C188" s="19"/>
      <c r="D188" s="19"/>
      <c r="E188" s="5"/>
      <c r="F188" s="5"/>
    </row>
    <row r="189" ht="24" customHeight="1" spans="2:16" x14ac:dyDescent="0.25">
      <c r="B189" s="20" t="s">
        <v>67</v>
      </c>
      <c r="C189" s="21"/>
      <c r="D189" s="21"/>
      <c r="E189" s="21"/>
      <c r="F189" s="21"/>
      <c r="G189" s="4">
        <f>IFERROR(IF(AND($C$189="",$C$190=""),IF(COUNTA($C$188:$F$188,$E$191,$C$193:$F$200)+COUNTA($E$190,$C$191)&gt;0,"⚠ Pick an exercise for this card",""),IF(AND($C$189&lt;&gt;"",$C$190&lt;&gt;""),"⚠ Use the library OR a custom exercise, not both",IF(AND($C$190&lt;&gt;"",$E$190=""),"⚠ Pick a muscle group for the custom exercise",IF(COUNT($E$193:$E$200)=0,"⚠ Enter Goal Reps for at least one set",IF(SUM($Q$193:$Q$200)&gt;0,"⚠ A set is missing Goal Reps",IF(IF($C$191="",1=0,COUNTIF($P$7:$P$214,$C$191)&lt;2),"⚠ Superset "&amp;$C$191&amp;" needs 2+ exercises",IF($C$189&lt;&gt;"",IFERROR("✓ "&amp;INDEX('Exercise Library'!$C$2:$C$319,MATCH($C$189,'Exercise Library'!$B$2:$B$319,0))&amp;IF(INDEX('Exercise Library'!$D$2:$D$319,MATCH($C$189,'Exercise Library'!$B$2:$B$319,0))="Yes"," · demo video","")&amp;" · "&amp;COUNT($E$193:$E$200)&amp;" sets","⚠ Not in the library — use Custom"),"✓ Custom ("&amp;$E$190&amp;") · "&amp;COUNT($E$193:$E$200)&amp;" sets"))))))),"⚠ Check this row")</f>
      </c>
      <c r="P189">
        <f>IF(OR($C$189&lt;&gt;"",$C$190&lt;&gt;""),$C$191,"")</f>
      </c>
    </row>
    <row r="190" spans="2:6" x14ac:dyDescent="0.25">
      <c r="B190" s="18" t="s">
        <v>46</v>
      </c>
      <c r="C190" s="5"/>
      <c r="D190" s="5"/>
      <c r="E190" s="5"/>
      <c r="F190" s="18" t="s">
        <v>47</v>
      </c>
    </row>
    <row r="191" ht="22" customHeight="1" spans="2:6" x14ac:dyDescent="0.25">
      <c r="B191" s="18" t="s">
        <v>48</v>
      </c>
      <c r="C191" s="22"/>
      <c r="D191" s="18" t="s">
        <v>49</v>
      </c>
      <c r="E191" s="5"/>
      <c r="F191" s="5"/>
    </row>
    <row r="192" spans="2:6" x14ac:dyDescent="0.25">
      <c r="B192" s="23" t="s">
        <v>50</v>
      </c>
      <c r="C192" s="23" t="s">
        <v>51</v>
      </c>
      <c r="D192" s="23" t="s">
        <v>52</v>
      </c>
      <c r="E192" s="23" t="s">
        <v>53</v>
      </c>
      <c r="F192" s="23" t="s">
        <v>54</v>
      </c>
    </row>
    <row r="193" spans="2:17" x14ac:dyDescent="0.25">
      <c r="B193" s="24">
        <v>1</v>
      </c>
      <c r="C193" s="22"/>
      <c r="D193" s="22"/>
      <c r="E193" s="22"/>
      <c r="F193" s="22"/>
      <c r="Q193">
        <f>IF(AND($E193="",COUNTA($C193:$D193,$F193)&gt;0),1,0)</f>
      </c>
    </row>
    <row r="194" spans="2:17" x14ac:dyDescent="0.25">
      <c r="B194" s="24">
        <v>2</v>
      </c>
      <c r="C194" s="22"/>
      <c r="D194" s="22"/>
      <c r="E194" s="22"/>
      <c r="F194" s="22"/>
      <c r="Q194">
        <f>IF(AND($E194="",COUNTA($C194:$D194,$F194)&gt;0),1,0)</f>
      </c>
    </row>
    <row r="195" spans="2:17" x14ac:dyDescent="0.25">
      <c r="B195" s="24">
        <v>3</v>
      </c>
      <c r="C195" s="22"/>
      <c r="D195" s="22"/>
      <c r="E195" s="22"/>
      <c r="F195" s="22"/>
      <c r="Q195">
        <f>IF(AND($E195="",COUNTA($C195:$D195,$F195)&gt;0),1,0)</f>
      </c>
    </row>
    <row r="196" spans="2:17" x14ac:dyDescent="0.25">
      <c r="B196" s="24">
        <v>4</v>
      </c>
      <c r="C196" s="22"/>
      <c r="D196" s="22"/>
      <c r="E196" s="22"/>
      <c r="F196" s="22"/>
      <c r="Q196">
        <f>IF(AND($E196="",COUNTA($C196:$D196,$F196)&gt;0),1,0)</f>
      </c>
    </row>
    <row r="197" spans="2:17" x14ac:dyDescent="0.25">
      <c r="B197" s="24">
        <v>5</v>
      </c>
      <c r="C197" s="22"/>
      <c r="D197" s="22"/>
      <c r="E197" s="22"/>
      <c r="F197" s="22"/>
      <c r="Q197">
        <f>IF(AND($E197="",COUNTA($C197:$D197,$F197)&gt;0),1,0)</f>
      </c>
    </row>
    <row r="198" spans="2:17" x14ac:dyDescent="0.25">
      <c r="B198" s="24">
        <v>6</v>
      </c>
      <c r="C198" s="22"/>
      <c r="D198" s="22"/>
      <c r="E198" s="22"/>
      <c r="F198" s="22"/>
      <c r="Q198">
        <f>IF(AND($E198="",COUNTA($C198:$D198,$F198)&gt;0),1,0)</f>
      </c>
    </row>
    <row r="199" spans="2:17" x14ac:dyDescent="0.25">
      <c r="B199" s="24">
        <v>7</v>
      </c>
      <c r="C199" s="22"/>
      <c r="D199" s="22"/>
      <c r="E199" s="22"/>
      <c r="F199" s="22"/>
      <c r="Q199">
        <f>IF(AND($E199="",COUNTA($C199:$D199,$F199)&gt;0),1,0)</f>
      </c>
    </row>
    <row r="200" spans="2:17" x14ac:dyDescent="0.25">
      <c r="B200" s="24">
        <v>8</v>
      </c>
      <c r="C200" s="22"/>
      <c r="D200" s="22"/>
      <c r="E200" s="22"/>
      <c r="F200" s="22"/>
      <c r="Q200">
        <f>IF(AND($E200="",COUNTA($C200:$D200,$F200)&gt;0),1,0)</f>
      </c>
    </row>
    <row r="202" spans="2:6" x14ac:dyDescent="0.25">
      <c r="B202" s="18" t="s">
        <v>44</v>
      </c>
      <c r="C202" s="19"/>
      <c r="D202" s="19"/>
      <c r="E202" s="5"/>
      <c r="F202" s="5"/>
    </row>
    <row r="203" ht="24" customHeight="1" spans="2:16" x14ac:dyDescent="0.25">
      <c r="B203" s="20" t="s">
        <v>68</v>
      </c>
      <c r="C203" s="21"/>
      <c r="D203" s="21"/>
      <c r="E203" s="21"/>
      <c r="F203" s="21"/>
      <c r="G203" s="4">
        <f>IFERROR(IF(AND($C$203="",$C$204=""),IF(COUNTA($C$202:$F$202,$E$205,$C$207:$F$214)+COUNTA($E$204,$C$205)&gt;0,"⚠ Pick an exercise for this card",""),IF(AND($C$203&lt;&gt;"",$C$204&lt;&gt;""),"⚠ Use the library OR a custom exercise, not both",IF(AND($C$204&lt;&gt;"",$E$204=""),"⚠ Pick a muscle group for the custom exercise",IF(COUNT($E$207:$E$214)=0,"⚠ Enter Goal Reps for at least one set",IF(SUM($Q$207:$Q$214)&gt;0,"⚠ A set is missing Goal Reps",IF(IF($C$205="",1=0,COUNTIF($P$7:$P$214,$C$205)&lt;2),"⚠ Superset "&amp;$C$205&amp;" needs 2+ exercises",IF($C$203&lt;&gt;"",IFERROR("✓ "&amp;INDEX('Exercise Library'!$C$2:$C$319,MATCH($C$203,'Exercise Library'!$B$2:$B$319,0))&amp;IF(INDEX('Exercise Library'!$D$2:$D$319,MATCH($C$203,'Exercise Library'!$B$2:$B$319,0))="Yes"," · demo video","")&amp;" · "&amp;COUNT($E$207:$E$214)&amp;" sets","⚠ Not in the library — use Custom"),"✓ Custom ("&amp;$E$204&amp;") · "&amp;COUNT($E$207:$E$214)&amp;" sets"))))))),"⚠ Check this row")</f>
      </c>
      <c r="P203">
        <f>IF(OR($C$203&lt;&gt;"",$C$204&lt;&gt;""),$C$205,"")</f>
      </c>
    </row>
    <row r="204" spans="2:6" x14ac:dyDescent="0.25">
      <c r="B204" s="18" t="s">
        <v>46</v>
      </c>
      <c r="C204" s="5"/>
      <c r="D204" s="5"/>
      <c r="E204" s="5"/>
      <c r="F204" s="18" t="s">
        <v>47</v>
      </c>
    </row>
    <row r="205" ht="22" customHeight="1" spans="2:6" x14ac:dyDescent="0.25">
      <c r="B205" s="18" t="s">
        <v>48</v>
      </c>
      <c r="C205" s="22"/>
      <c r="D205" s="18" t="s">
        <v>49</v>
      </c>
      <c r="E205" s="5"/>
      <c r="F205" s="5"/>
    </row>
    <row r="206" spans="2:6" x14ac:dyDescent="0.25">
      <c r="B206" s="23" t="s">
        <v>50</v>
      </c>
      <c r="C206" s="23" t="s">
        <v>51</v>
      </c>
      <c r="D206" s="23" t="s">
        <v>52</v>
      </c>
      <c r="E206" s="23" t="s">
        <v>53</v>
      </c>
      <c r="F206" s="23" t="s">
        <v>54</v>
      </c>
    </row>
    <row r="207" spans="2:17" x14ac:dyDescent="0.25">
      <c r="B207" s="24">
        <v>1</v>
      </c>
      <c r="C207" s="22"/>
      <c r="D207" s="22"/>
      <c r="E207" s="22"/>
      <c r="F207" s="22"/>
      <c r="Q207">
        <f>IF(AND($E207="",COUNTA($C207:$D207,$F207)&gt;0),1,0)</f>
      </c>
    </row>
    <row r="208" spans="2:17" x14ac:dyDescent="0.25">
      <c r="B208" s="24">
        <v>2</v>
      </c>
      <c r="C208" s="22"/>
      <c r="D208" s="22"/>
      <c r="E208" s="22"/>
      <c r="F208" s="22"/>
      <c r="Q208">
        <f>IF(AND($E208="",COUNTA($C208:$D208,$F208)&gt;0),1,0)</f>
      </c>
    </row>
    <row r="209" spans="2:17" x14ac:dyDescent="0.25">
      <c r="B209" s="24">
        <v>3</v>
      </c>
      <c r="C209" s="22"/>
      <c r="D209" s="22"/>
      <c r="E209" s="22"/>
      <c r="F209" s="22"/>
      <c r="Q209">
        <f>IF(AND($E209="",COUNTA($C209:$D209,$F209)&gt;0),1,0)</f>
      </c>
    </row>
    <row r="210" spans="2:17" x14ac:dyDescent="0.25">
      <c r="B210" s="24">
        <v>4</v>
      </c>
      <c r="C210" s="22"/>
      <c r="D210" s="22"/>
      <c r="E210" s="22"/>
      <c r="F210" s="22"/>
      <c r="Q210">
        <f>IF(AND($E210="",COUNTA($C210:$D210,$F210)&gt;0),1,0)</f>
      </c>
    </row>
    <row r="211" spans="2:17" x14ac:dyDescent="0.25">
      <c r="B211" s="24">
        <v>5</v>
      </c>
      <c r="C211" s="22"/>
      <c r="D211" s="22"/>
      <c r="E211" s="22"/>
      <c r="F211" s="22"/>
      <c r="Q211">
        <f>IF(AND($E211="",COUNTA($C211:$D211,$F211)&gt;0),1,0)</f>
      </c>
    </row>
    <row r="212" spans="2:17" x14ac:dyDescent="0.25">
      <c r="B212" s="24">
        <v>6</v>
      </c>
      <c r="C212" s="22"/>
      <c r="D212" s="22"/>
      <c r="E212" s="22"/>
      <c r="F212" s="22"/>
      <c r="Q212">
        <f>IF(AND($E212="",COUNTA($C212:$D212,$F212)&gt;0),1,0)</f>
      </c>
    </row>
    <row r="213" spans="2:17" x14ac:dyDescent="0.25">
      <c r="B213" s="24">
        <v>7</v>
      </c>
      <c r="C213" s="22"/>
      <c r="D213" s="22"/>
      <c r="E213" s="22"/>
      <c r="F213" s="22"/>
      <c r="Q213">
        <f>IF(AND($E213="",COUNTA($C213:$D213,$F213)&gt;0),1,0)</f>
      </c>
    </row>
    <row r="214" spans="2:17" x14ac:dyDescent="0.25">
      <c r="B214" s="24">
        <v>8</v>
      </c>
      <c r="C214" s="22"/>
      <c r="D214" s="22"/>
      <c r="E214" s="22"/>
      <c r="F214" s="22"/>
      <c r="Q214">
        <f>IF(AND($E214="",COUNTA($C214:$D214,$F214)&gt;0),1,0)</f>
      </c>
    </row>
  </sheetData>
  <mergeCells count="78">
    <mergeCell ref="A1:G1"/>
    <mergeCell ref="C3:F3"/>
    <mergeCell ref="C4:F4"/>
    <mergeCell ref="C6:D6"/>
    <mergeCell ref="E6:F6"/>
    <mergeCell ref="C7:F7"/>
    <mergeCell ref="C8:D8"/>
    <mergeCell ref="E9:F9"/>
    <mergeCell ref="C20:D20"/>
    <mergeCell ref="E20:F20"/>
    <mergeCell ref="C21:F21"/>
    <mergeCell ref="C22:D22"/>
    <mergeCell ref="E23:F23"/>
    <mergeCell ref="C34:D34"/>
    <mergeCell ref="E34:F34"/>
    <mergeCell ref="C35:F35"/>
    <mergeCell ref="C36:D36"/>
    <mergeCell ref="E37:F37"/>
    <mergeCell ref="C48:D48"/>
    <mergeCell ref="E48:F48"/>
    <mergeCell ref="C49:F49"/>
    <mergeCell ref="C50:D50"/>
    <mergeCell ref="E51:F51"/>
    <mergeCell ref="C62:D62"/>
    <mergeCell ref="E62:F62"/>
    <mergeCell ref="C63:F63"/>
    <mergeCell ref="C64:D64"/>
    <mergeCell ref="E65:F65"/>
    <mergeCell ref="C76:D76"/>
    <mergeCell ref="E76:F76"/>
    <mergeCell ref="C77:F77"/>
    <mergeCell ref="C78:D78"/>
    <mergeCell ref="E79:F79"/>
    <mergeCell ref="C90:D90"/>
    <mergeCell ref="E90:F90"/>
    <mergeCell ref="C91:F91"/>
    <mergeCell ref="C92:D92"/>
    <mergeCell ref="E93:F93"/>
    <mergeCell ref="C104:D104"/>
    <mergeCell ref="E104:F104"/>
    <mergeCell ref="C105:F105"/>
    <mergeCell ref="C106:D106"/>
    <mergeCell ref="E107:F107"/>
    <mergeCell ref="C118:D118"/>
    <mergeCell ref="E118:F118"/>
    <mergeCell ref="C119:F119"/>
    <mergeCell ref="C120:D120"/>
    <mergeCell ref="E121:F121"/>
    <mergeCell ref="C132:D132"/>
    <mergeCell ref="E132:F132"/>
    <mergeCell ref="C133:F133"/>
    <mergeCell ref="C134:D134"/>
    <mergeCell ref="E135:F135"/>
    <mergeCell ref="C146:D146"/>
    <mergeCell ref="E146:F146"/>
    <mergeCell ref="C147:F147"/>
    <mergeCell ref="C148:D148"/>
    <mergeCell ref="E149:F149"/>
    <mergeCell ref="C160:D160"/>
    <mergeCell ref="E160:F160"/>
    <mergeCell ref="C161:F161"/>
    <mergeCell ref="C162:D162"/>
    <mergeCell ref="E163:F163"/>
    <mergeCell ref="C174:D174"/>
    <mergeCell ref="E174:F174"/>
    <mergeCell ref="C175:F175"/>
    <mergeCell ref="C176:D176"/>
    <mergeCell ref="E177:F177"/>
    <mergeCell ref="C188:D188"/>
    <mergeCell ref="E188:F188"/>
    <mergeCell ref="C189:F189"/>
    <mergeCell ref="C190:D190"/>
    <mergeCell ref="E191:F191"/>
    <mergeCell ref="C202:D202"/>
    <mergeCell ref="E202:F202"/>
    <mergeCell ref="C203:F203"/>
    <mergeCell ref="C204:D204"/>
    <mergeCell ref="E205:F205"/>
  </mergeCells>
  <conditionalFormatting sqref="A1:G1">
    <cfRule type="expression" dxfId="63" priority="1">
      <formula>$O$1="FILL"</formula>
    </cfRule>
    <cfRule type="expression" dxfId="64" priority="2">
      <formula>$O$1="SKIP"</formula>
    </cfRule>
    <cfRule type="expression" dxfId="65" priority="3">
      <formula>$O$1=""</formula>
    </cfRule>
  </conditionalFormatting>
  <conditionalFormatting sqref="G3:G214">
    <cfRule type="expression" dxfId="66" priority="1">
      <formula>LEFT(G3,1)="⚠"</formula>
    </cfRule>
    <cfRule type="expression" dxfId="67" priority="2">
      <formula>LEFT(G3,1)="✓"</formula>
    </cfRule>
  </conditionalFormatting>
  <conditionalFormatting sqref="C3:F214">
    <cfRule type="expression" dxfId="68" priority="1">
      <formula>$O$1="SKIP"</formula>
    </cfRule>
  </conditionalFormatting>
  <dataValidations count="121">
    <dataValidation type="list" allowBlank="1" showInputMessage="1" prompt="Pick from the RepLab exercise library (type to search). Library exercises come with demo videos." showErrorMessage="1" errorStyle="stop" errorTitle="Pick from the list" error="Choose one of the options in the dropdown." sqref="C105">
      <formula1>'Exercise Library'!$B$2:$B$319</formula1>
    </dataValidation>
    <dataValidation type="textLength" operator="lessThanOrEqual" allowBlank="1" showErrorMessage="1" error="200 characters or fewer." sqref="C106">
      <formula1>200</formula1>
    </dataValidation>
    <dataValidation type="list" allowBlank="1" showInputMessage="1" prompt="Same letter = same superset" showErrorMessage="1" errorStyle="stop" errorTitle="Pick from the list" error="Choose one of the options in the dropdown." sqref="C107">
      <formula1>Lists!$E$2:$E$11</formula1>
    </dataValidation>
    <dataValidation type="list" allowBlank="1" showErrorMessage="1" errorStyle="stop" errorTitle="Pick from the list" error="Choose one of the options in the dropdown." sqref="C109:C11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19">
      <formula1>'Exercise Library'!$B$2:$B$319</formula1>
    </dataValidation>
    <dataValidation type="list" allowBlank="1" showErrorMessage="1" errorStyle="stop" errorTitle="Pick from the list" error="Choose one of the options in the dropdown." sqref="C11:C18">
      <formula1>Lists!$B$2:$B$9</formula1>
    </dataValidation>
    <dataValidation type="textLength" operator="lessThanOrEqual" allowBlank="1" showErrorMessage="1" error="200 characters or fewer." sqref="C120">
      <formula1>200</formula1>
    </dataValidation>
    <dataValidation type="list" allowBlank="1" showInputMessage="1" prompt="Same letter = same superset" showErrorMessage="1" errorStyle="stop" errorTitle="Pick from the list" error="Choose one of the options in the dropdown." sqref="C121">
      <formula1>Lists!$E$2:$E$11</formula1>
    </dataValidation>
    <dataValidation type="list" allowBlank="1" showErrorMessage="1" errorStyle="stop" errorTitle="Pick from the list" error="Choose one of the options in the dropdown." sqref="C123:C13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33">
      <formula1>'Exercise Library'!$B$2:$B$319</formula1>
    </dataValidation>
    <dataValidation type="textLength" operator="lessThanOrEqual" allowBlank="1" showErrorMessage="1" error="200 characters or fewer." sqref="C134">
      <formula1>200</formula1>
    </dataValidation>
    <dataValidation type="list" allowBlank="1" showInputMessage="1" prompt="Same letter = same superset" showErrorMessage="1" errorStyle="stop" errorTitle="Pick from the list" error="Choose one of the options in the dropdown." sqref="C135">
      <formula1>Lists!$E$2:$E$11</formula1>
    </dataValidation>
    <dataValidation type="list" allowBlank="1" showErrorMessage="1" errorStyle="stop" errorTitle="Pick from the list" error="Choose one of the options in the dropdown." sqref="C137:C14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47">
      <formula1>'Exercise Library'!$B$2:$B$319</formula1>
    </dataValidation>
    <dataValidation type="textLength" operator="lessThanOrEqual" allowBlank="1" showErrorMessage="1" error="200 characters or fewer." sqref="C148">
      <formula1>200</formula1>
    </dataValidation>
    <dataValidation type="list" allowBlank="1" showInputMessage="1" prompt="Same letter = same superset" showErrorMessage="1" errorStyle="stop" errorTitle="Pick from the list" error="Choose one of the options in the dropdown." sqref="C149">
      <formula1>Lists!$E$2:$E$11</formula1>
    </dataValidation>
    <dataValidation type="list" allowBlank="1" showErrorMessage="1" errorStyle="stop" errorTitle="Pick from the list" error="Choose one of the options in the dropdown." sqref="C151:C158">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61">
      <formula1>'Exercise Library'!$B$2:$B$319</formula1>
    </dataValidation>
    <dataValidation type="textLength" operator="lessThanOrEqual" allowBlank="1" showErrorMessage="1" error="200 characters or fewer." sqref="C162">
      <formula1>200</formula1>
    </dataValidation>
    <dataValidation type="list" allowBlank="1" showInputMessage="1" prompt="Same letter = same superset" showErrorMessage="1" errorStyle="stop" errorTitle="Pick from the list" error="Choose one of the options in the dropdown." sqref="C163">
      <formula1>Lists!$E$2:$E$11</formula1>
    </dataValidation>
    <dataValidation type="list" allowBlank="1" showErrorMessage="1" errorStyle="stop" errorTitle="Pick from the list" error="Choose one of the options in the dropdown." sqref="C165:C172">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75">
      <formula1>'Exercise Library'!$B$2:$B$319</formula1>
    </dataValidation>
    <dataValidation type="textLength" operator="lessThanOrEqual" allowBlank="1" showErrorMessage="1" error="200 characters or fewer." sqref="C176">
      <formula1>200</formula1>
    </dataValidation>
    <dataValidation type="list" allowBlank="1" showInputMessage="1" prompt="Same letter = same superset" showErrorMessage="1" errorStyle="stop" errorTitle="Pick from the list" error="Choose one of the options in the dropdown." sqref="C177">
      <formula1>Lists!$E$2:$E$11</formula1>
    </dataValidation>
    <dataValidation type="list" allowBlank="1" showErrorMessage="1" errorStyle="stop" errorTitle="Pick from the list" error="Choose one of the options in the dropdown." sqref="C179:C18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89">
      <formula1>'Exercise Library'!$B$2:$B$319</formula1>
    </dataValidation>
    <dataValidation type="textLength" operator="lessThanOrEqual" allowBlank="1" showErrorMessage="1" error="200 characters or fewer." sqref="C190">
      <formula1>200</formula1>
    </dataValidation>
    <dataValidation type="list" allowBlank="1" showInputMessage="1" prompt="Same letter = same superset" showErrorMessage="1" errorStyle="stop" errorTitle="Pick from the list" error="Choose one of the options in the dropdown." sqref="C191">
      <formula1>Lists!$E$2:$E$11</formula1>
    </dataValidation>
    <dataValidation type="list" allowBlank="1" showErrorMessage="1" errorStyle="stop" errorTitle="Pick from the list" error="Choose one of the options in the dropdown." sqref="C193:C20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03">
      <formula1>'Exercise Library'!$B$2:$B$319</formula1>
    </dataValidation>
    <dataValidation type="textLength" operator="lessThanOrEqual" allowBlank="1" showErrorMessage="1" error="200 characters or fewer." sqref="C204">
      <formula1>200</formula1>
    </dataValidation>
    <dataValidation type="list" allowBlank="1" showInputMessage="1" prompt="Same letter = same superset" showErrorMessage="1" errorStyle="stop" errorTitle="Pick from the list" error="Choose one of the options in the dropdown." sqref="C205">
      <formula1>Lists!$E$2:$E$11</formula1>
    </dataValidation>
    <dataValidation type="list" allowBlank="1" showErrorMessage="1" errorStyle="stop" errorTitle="Pick from the list" error="Choose one of the options in the dropdown." sqref="C207:C21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1">
      <formula1>'Exercise Library'!$B$2:$B$319</formula1>
    </dataValidation>
    <dataValidation type="textLength" operator="lessThanOrEqual" allowBlank="1" showErrorMessage="1" error="200 characters or fewer." sqref="C22">
      <formula1>200</formula1>
    </dataValidation>
    <dataValidation type="list" allowBlank="1" showInputMessage="1" prompt="Same letter = same superset" showErrorMessage="1" errorStyle="stop" errorTitle="Pick from the list" error="Choose one of the options in the dropdown." sqref="C23">
      <formula1>Lists!$E$2:$E$11</formula1>
    </dataValidation>
    <dataValidation type="list" allowBlank="1" showErrorMessage="1" errorStyle="stop" errorTitle="Pick from the list" error="Choose one of the options in the dropdown." sqref="C25:C32">
      <formula1>Lists!$B$2:$B$9</formula1>
    </dataValidation>
    <dataValidation type="textLength" operator="lessThanOrEqual" allowBlank="1" showErrorMessage="1" error="200 characters or fewer." sqref="C3">
      <formula1>200</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35">
      <formula1>'Exercise Library'!$B$2:$B$319</formula1>
    </dataValidation>
    <dataValidation type="textLength" operator="lessThanOrEqual" allowBlank="1" showErrorMessage="1" error="200 characters or fewer." sqref="C36">
      <formula1>200</formula1>
    </dataValidation>
    <dataValidation type="list" allowBlank="1" showInputMessage="1" prompt="Same letter = same superset" showErrorMessage="1" errorStyle="stop" errorTitle="Pick from the list" error="Choose one of the options in the dropdown." sqref="C37">
      <formula1>Lists!$E$2:$E$11</formula1>
    </dataValidation>
    <dataValidation type="list" allowBlank="1" showErrorMessage="1" errorStyle="stop" errorTitle="Pick from the list" error="Choose one of the options in the dropdown." sqref="C39:C4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49">
      <formula1>'Exercise Library'!$B$2:$B$319</formula1>
    </dataValidation>
    <dataValidation type="textLength" operator="lessThanOrEqual" allowBlank="1" showErrorMessage="1" error="200 characters or fewer." sqref="C50">
      <formula1>200</formula1>
    </dataValidation>
    <dataValidation type="list" allowBlank="1" showInputMessage="1" prompt="Same letter = same superset" showErrorMessage="1" errorStyle="stop" errorTitle="Pick from the list" error="Choose one of the options in the dropdown." sqref="C51">
      <formula1>Lists!$E$2:$E$11</formula1>
    </dataValidation>
    <dataValidation type="list" allowBlank="1" showErrorMessage="1" errorStyle="stop" errorTitle="Pick from the list" error="Choose one of the options in the dropdown." sqref="C53:C6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63">
      <formula1>'Exercise Library'!$B$2:$B$319</formula1>
    </dataValidation>
    <dataValidation type="textLength" operator="lessThanOrEqual" allowBlank="1" showErrorMessage="1" error="200 characters or fewer." sqref="C64">
      <formula1>200</formula1>
    </dataValidation>
    <dataValidation type="list" allowBlank="1" showInputMessage="1" prompt="Same letter = same superset" showErrorMessage="1" errorStyle="stop" errorTitle="Pick from the list" error="Choose one of the options in the dropdown." sqref="C65">
      <formula1>Lists!$E$2:$E$11</formula1>
    </dataValidation>
    <dataValidation type="list" allowBlank="1" showErrorMessage="1" errorStyle="stop" errorTitle="Pick from the list" error="Choose one of the options in the dropdown." sqref="C67:C7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
      <formula1>'Exercise Library'!$B$2:$B$319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7">
      <formula1>'Exercise Library'!$B$2:$B$319</formula1>
    </dataValidation>
    <dataValidation type="textLength" operator="lessThanOrEqual" allowBlank="1" showErrorMessage="1" error="200 characters or fewer." sqref="C78">
      <formula1>200</formula1>
    </dataValidation>
    <dataValidation type="list" allowBlank="1" showInputMessage="1" prompt="Same letter = same superset" showErrorMessage="1" errorStyle="stop" errorTitle="Pick from the list" error="Choose one of the options in the dropdown." sqref="C79">
      <formula1>Lists!$E$2:$E$11</formula1>
    </dataValidation>
    <dataValidation type="textLength" operator="lessThanOrEqual" allowBlank="1" showErrorMessage="1" error="200 characters or fewer." sqref="C8">
      <formula1>200</formula1>
    </dataValidation>
    <dataValidation type="list" allowBlank="1" showErrorMessage="1" errorStyle="stop" errorTitle="Pick from the list" error="Choose one of the options in the dropdown." sqref="C81:C88">
      <formula1>Lists!$B$2:$B$9</formula1>
    </dataValidation>
    <dataValidation type="list" allowBlank="1" showInputMessage="1" prompt="Same letter = same superset" showErrorMessage="1" errorStyle="stop" errorTitle="Pick from the list" error="Choose one of the options in the dropdown." sqref="C9">
      <formula1>Lists!$E$2:$E$11</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91">
      <formula1>'Exercise Library'!$B$2:$B$319</formula1>
    </dataValidation>
    <dataValidation type="textLength" operator="lessThanOrEqual" allowBlank="1" showErrorMessage="1" error="200 characters or fewer." sqref="C92">
      <formula1>200</formula1>
    </dataValidation>
    <dataValidation type="list" allowBlank="1" showInputMessage="1" prompt="Same letter = same superset" showErrorMessage="1" errorStyle="stop" errorTitle="Pick from the list" error="Choose one of the options in the dropdown." sqref="C93">
      <formula1>Lists!$E$2:$E$11</formula1>
    </dataValidation>
    <dataValidation type="list" allowBlank="1" showErrorMessage="1" errorStyle="stop" errorTitle="Pick from the list" error="Choose one of the options in the dropdown." sqref="C95:C102">
      <formula1>Lists!$B$2:$B$9</formula1>
    </dataValidation>
    <dataValidation type="decimal" allowBlank="1" showErrorMessage="1" error="Goal weight: a number from 0 to 2000 (lbs)." sqref="D109:D116">
      <formula1>0</formula1>
      <formula2>2000</formula2>
    </dataValidation>
    <dataValidation type="decimal" allowBlank="1" showErrorMessage="1" error="Goal weight: a number from 0 to 2000 (lbs)." sqref="D11:D18">
      <formula1>0</formula1>
      <formula2>2000</formula2>
    </dataValidation>
    <dataValidation type="decimal" allowBlank="1" showErrorMessage="1" error="Goal weight: a number from 0 to 2000 (lbs)." sqref="D123:D130">
      <formula1>0</formula1>
      <formula2>2000</formula2>
    </dataValidation>
    <dataValidation type="decimal" allowBlank="1" showErrorMessage="1" error="Goal weight: a number from 0 to 2000 (lbs)." sqref="D137:D144">
      <formula1>0</formula1>
      <formula2>2000</formula2>
    </dataValidation>
    <dataValidation type="decimal" allowBlank="1" showErrorMessage="1" error="Goal weight: a number from 0 to 2000 (lbs)." sqref="D151:D158">
      <formula1>0</formula1>
      <formula2>2000</formula2>
    </dataValidation>
    <dataValidation type="decimal" allowBlank="1" showErrorMessage="1" error="Goal weight: a number from 0 to 2000 (lbs)." sqref="D165:D172">
      <formula1>0</formula1>
      <formula2>2000</formula2>
    </dataValidation>
    <dataValidation type="decimal" allowBlank="1" showErrorMessage="1" error="Goal weight: a number from 0 to 2000 (lbs)." sqref="D179:D186">
      <formula1>0</formula1>
      <formula2>2000</formula2>
    </dataValidation>
    <dataValidation type="decimal" allowBlank="1" showErrorMessage="1" error="Goal weight: a number from 0 to 2000 (lbs)." sqref="D193:D200">
      <formula1>0</formula1>
      <formula2>2000</formula2>
    </dataValidation>
    <dataValidation type="decimal" allowBlank="1" showErrorMessage="1" error="Goal weight: a number from 0 to 2000 (lbs)." sqref="D207:D214">
      <formula1>0</formula1>
      <formula2>2000</formula2>
    </dataValidation>
    <dataValidation type="decimal" allowBlank="1" showErrorMessage="1" error="Goal weight: a number from 0 to 2000 (lbs)." sqref="D25:D32">
      <formula1>0</formula1>
      <formula2>2000</formula2>
    </dataValidation>
    <dataValidation type="decimal" allowBlank="1" showErrorMessage="1" error="Goal weight: a number from 0 to 2000 (lbs)." sqref="D39:D46">
      <formula1>0</formula1>
      <formula2>2000</formula2>
    </dataValidation>
    <dataValidation type="decimal" allowBlank="1" showErrorMessage="1" error="Goal weight: a number from 0 to 2000 (lbs)." sqref="D53:D60">
      <formula1>0</formula1>
      <formula2>2000</formula2>
    </dataValidation>
    <dataValidation type="decimal" allowBlank="1" showErrorMessage="1" error="Goal weight: a number from 0 to 2000 (lbs)." sqref="D67:D74">
      <formula1>0</formula1>
      <formula2>2000</formula2>
    </dataValidation>
    <dataValidation type="decimal" allowBlank="1" showErrorMessage="1" error="Goal weight: a number from 0 to 2000 (lbs)." sqref="D81:D88">
      <formula1>0</formula1>
      <formula2>2000</formula2>
    </dataValidation>
    <dataValidation type="decimal" allowBlank="1" showErrorMessage="1" error="Goal weight: a number from 0 to 2000 (lbs)." sqref="D95:D102">
      <formula1>0</formula1>
      <formula2>2000</formula2>
    </dataValidation>
    <dataValidation type="list" allowBlank="1" showInputMessage="1" prompt="Muscle group for the custom exercise" showErrorMessage="1" errorStyle="stop" errorTitle="Pick from the list" error="Choose one of the options in the dropdown." sqref="E106">
      <formula1>Lists!$D$2:$D$15</formula1>
    </dataValidation>
    <dataValidation type="whole" allowBlank="1" showErrorMessage="1" error="Goal reps: a whole number from 0 to 100." sqref="E109:E116">
      <formula1>0</formula1>
      <formula2>100</formula2>
    </dataValidation>
    <dataValidation type="whole" allowBlank="1" showErrorMessage="1" error="Goal reps: a whole number from 0 to 100." sqref="E11:E18">
      <formula1>0</formula1>
      <formula2>100</formula2>
    </dataValidation>
    <dataValidation type="list" allowBlank="1" showInputMessage="1" prompt="Muscle group for the custom exercise" showErrorMessage="1" errorStyle="stop" errorTitle="Pick from the list" error="Choose one of the options in the dropdown." sqref="E120">
      <formula1>Lists!$D$2:$D$15</formula1>
    </dataValidation>
    <dataValidation type="whole" allowBlank="1" showErrorMessage="1" error="Goal reps: a whole number from 0 to 100." sqref="E123:E130">
      <formula1>0</formula1>
      <formula2>100</formula2>
    </dataValidation>
    <dataValidation type="list" allowBlank="1" showInputMessage="1" prompt="Muscle group for the custom exercise" showErrorMessage="1" errorStyle="stop" errorTitle="Pick from the list" error="Choose one of the options in the dropdown." sqref="E134">
      <formula1>Lists!$D$2:$D$15</formula1>
    </dataValidation>
    <dataValidation type="whole" allowBlank="1" showErrorMessage="1" error="Goal reps: a whole number from 0 to 100." sqref="E137:E144">
      <formula1>0</formula1>
      <formula2>100</formula2>
    </dataValidation>
    <dataValidation type="list" allowBlank="1" showInputMessage="1" prompt="Muscle group for the custom exercise" showErrorMessage="1" errorStyle="stop" errorTitle="Pick from the list" error="Choose one of the options in the dropdown." sqref="E148">
      <formula1>Lists!$D$2:$D$15</formula1>
    </dataValidation>
    <dataValidation type="whole" allowBlank="1" showErrorMessage="1" error="Goal reps: a whole number from 0 to 100." sqref="E151:E158">
      <formula1>0</formula1>
      <formula2>100</formula2>
    </dataValidation>
    <dataValidation type="list" allowBlank="1" showInputMessage="1" prompt="Muscle group for the custom exercise" showErrorMessage="1" errorStyle="stop" errorTitle="Pick from the list" error="Choose one of the options in the dropdown." sqref="E162">
      <formula1>Lists!$D$2:$D$15</formula1>
    </dataValidation>
    <dataValidation type="whole" allowBlank="1" showErrorMessage="1" error="Goal reps: a whole number from 0 to 100." sqref="E165:E172">
      <formula1>0</formula1>
      <formula2>100</formula2>
    </dataValidation>
    <dataValidation type="list" allowBlank="1" showInputMessage="1" prompt="Muscle group for the custom exercise" showErrorMessage="1" errorStyle="stop" errorTitle="Pick from the list" error="Choose one of the options in the dropdown." sqref="E176">
      <formula1>Lists!$D$2:$D$15</formula1>
    </dataValidation>
    <dataValidation type="whole" allowBlank="1" showErrorMessage="1" error="Goal reps: a whole number from 0 to 100." sqref="E179:E186">
      <formula1>0</formula1>
      <formula2>100</formula2>
    </dataValidation>
    <dataValidation type="list" allowBlank="1" showInputMessage="1" prompt="Muscle group for the custom exercise" showErrorMessage="1" errorStyle="stop" errorTitle="Pick from the list" error="Choose one of the options in the dropdown." sqref="E190">
      <formula1>Lists!$D$2:$D$15</formula1>
    </dataValidation>
    <dataValidation type="whole" allowBlank="1" showErrorMessage="1" error="Goal reps: a whole number from 0 to 100." sqref="E193:E200">
      <formula1>0</formula1>
      <formula2>100</formula2>
    </dataValidation>
    <dataValidation type="list" allowBlank="1" showInputMessage="1" prompt="Muscle group for the custom exercise" showErrorMessage="1" errorStyle="stop" errorTitle="Pick from the list" error="Choose one of the options in the dropdown." sqref="E204">
      <formula1>Lists!$D$2:$D$15</formula1>
    </dataValidation>
    <dataValidation type="whole" allowBlank="1" showErrorMessage="1" error="Goal reps: a whole number from 0 to 100." sqref="E207:E214">
      <formula1>0</formula1>
      <formula2>100</formula2>
    </dataValidation>
    <dataValidation type="list" allowBlank="1" showInputMessage="1" prompt="Muscle group for the custom exercise" showErrorMessage="1" errorStyle="stop" errorTitle="Pick from the list" error="Choose one of the options in the dropdown." sqref="E22">
      <formula1>Lists!$D$2:$D$15</formula1>
    </dataValidation>
    <dataValidation type="whole" allowBlank="1" showErrorMessage="1" error="Goal reps: a whole number from 0 to 100." sqref="E25:E32">
      <formula1>0</formula1>
      <formula2>100</formula2>
    </dataValidation>
    <dataValidation type="list" allowBlank="1" showInputMessage="1" prompt="Muscle group for the custom exercise" showErrorMessage="1" errorStyle="stop" errorTitle="Pick from the list" error="Choose one of the options in the dropdown." sqref="E36">
      <formula1>Lists!$D$2:$D$15</formula1>
    </dataValidation>
    <dataValidation type="whole" allowBlank="1" showErrorMessage="1" error="Goal reps: a whole number from 0 to 100." sqref="E39:E46">
      <formula1>0</formula1>
      <formula2>100</formula2>
    </dataValidation>
    <dataValidation type="list" allowBlank="1" showInputMessage="1" prompt="Muscle group for the custom exercise" showErrorMessage="1" errorStyle="stop" errorTitle="Pick from the list" error="Choose one of the options in the dropdown." sqref="E50">
      <formula1>Lists!$D$2:$D$15</formula1>
    </dataValidation>
    <dataValidation type="whole" allowBlank="1" showErrorMessage="1" error="Goal reps: a whole number from 0 to 100." sqref="E53:E60">
      <formula1>0</formula1>
      <formula2>100</formula2>
    </dataValidation>
    <dataValidation type="list" allowBlank="1" showInputMessage="1" prompt="Muscle group for the custom exercise" showErrorMessage="1" errorStyle="stop" errorTitle="Pick from the list" error="Choose one of the options in the dropdown." sqref="E64">
      <formula1>Lists!$D$2:$D$15</formula1>
    </dataValidation>
    <dataValidation type="whole" allowBlank="1" showErrorMessage="1" error="Goal reps: a whole number from 0 to 100." sqref="E67:E74">
      <formula1>0</formula1>
      <formula2>100</formula2>
    </dataValidation>
    <dataValidation type="list" allowBlank="1" showInputMessage="1" prompt="Muscle group for the custom exercise" showErrorMessage="1" errorStyle="stop" errorTitle="Pick from the list" error="Choose one of the options in the dropdown." sqref="E78">
      <formula1>Lists!$D$2:$D$15</formula1>
    </dataValidation>
    <dataValidation type="list" allowBlank="1" showInputMessage="1" prompt="Muscle group for the custom exercise" showErrorMessage="1" errorStyle="stop" errorTitle="Pick from the list" error="Choose one of the options in the dropdown." sqref="E8">
      <formula1>Lists!$D$2:$D$15</formula1>
    </dataValidation>
    <dataValidation type="whole" allowBlank="1" showErrorMessage="1" error="Goal reps: a whole number from 0 to 100." sqref="E81:E88">
      <formula1>0</formula1>
      <formula2>100</formula2>
    </dataValidation>
    <dataValidation type="list" allowBlank="1" showInputMessage="1" prompt="Muscle group for the custom exercise" showErrorMessage="1" errorStyle="stop" errorTitle="Pick from the list" error="Choose one of the options in the dropdown." sqref="E92">
      <formula1>Lists!$D$2:$D$15</formula1>
    </dataValidation>
    <dataValidation type="whole" allowBlank="1" showErrorMessage="1" error="Goal reps: a whole number from 0 to 100." sqref="E95:E102">
      <formula1>0</formula1>
      <formula2>100</formula2>
    </dataValidation>
    <dataValidation type="textLength" operator="lessThanOrEqual" allowBlank="1" showErrorMessage="1" error="Keep the rep range short, e.g. 8-12." sqref="F109:F116">
      <formula1>20</formula1>
    </dataValidation>
    <dataValidation type="textLength" operator="lessThanOrEqual" allowBlank="1" showErrorMessage="1" error="Keep the rep range short, e.g. 8-12." sqref="F11:F18">
      <formula1>20</formula1>
    </dataValidation>
    <dataValidation type="textLength" operator="lessThanOrEqual" allowBlank="1" showErrorMessage="1" error="Keep the rep range short, e.g. 8-12." sqref="F123:F130">
      <formula1>20</formula1>
    </dataValidation>
    <dataValidation type="textLength" operator="lessThanOrEqual" allowBlank="1" showErrorMessage="1" error="Keep the rep range short, e.g. 8-12." sqref="F137:F144">
      <formula1>20</formula1>
    </dataValidation>
    <dataValidation type="textLength" operator="lessThanOrEqual" allowBlank="1" showErrorMessage="1" error="Keep the rep range short, e.g. 8-12." sqref="F151:F158">
      <formula1>20</formula1>
    </dataValidation>
    <dataValidation type="textLength" operator="lessThanOrEqual" allowBlank="1" showErrorMessage="1" error="Keep the rep range short, e.g. 8-12." sqref="F165:F172">
      <formula1>20</formula1>
    </dataValidation>
    <dataValidation type="textLength" operator="lessThanOrEqual" allowBlank="1" showErrorMessage="1" error="Keep the rep range short, e.g. 8-12." sqref="F179:F186">
      <formula1>20</formula1>
    </dataValidation>
    <dataValidation type="textLength" operator="lessThanOrEqual" allowBlank="1" showErrorMessage="1" error="Keep the rep range short, e.g. 8-12." sqref="F193:F200">
      <formula1>20</formula1>
    </dataValidation>
    <dataValidation type="textLength" operator="lessThanOrEqual" allowBlank="1" showErrorMessage="1" error="Keep the rep range short, e.g. 8-12." sqref="F207:F214">
      <formula1>20</formula1>
    </dataValidation>
    <dataValidation type="textLength" operator="lessThanOrEqual" allowBlank="1" showErrorMessage="1" error="Keep the rep range short, e.g. 8-12." sqref="F25:F32">
      <formula1>20</formula1>
    </dataValidation>
    <dataValidation type="textLength" operator="lessThanOrEqual" allowBlank="1" showErrorMessage="1" error="Keep the rep range short, e.g. 8-12." sqref="F39:F46">
      <formula1>20</formula1>
    </dataValidation>
    <dataValidation type="textLength" operator="lessThanOrEqual" allowBlank="1" showErrorMessage="1" error="Keep the rep range short, e.g. 8-12." sqref="F53:F60">
      <formula1>20</formula1>
    </dataValidation>
    <dataValidation type="textLength" operator="lessThanOrEqual" allowBlank="1" showErrorMessage="1" error="Keep the rep range short, e.g. 8-12." sqref="F67:F74">
      <formula1>20</formula1>
    </dataValidation>
    <dataValidation type="textLength" operator="lessThanOrEqual" allowBlank="1" showErrorMessage="1" error="Keep the rep range short, e.g. 8-12." sqref="F81:F88">
      <formula1>20</formula1>
    </dataValidation>
    <dataValidation type="textLength" operator="lessThanOrEqual" allowBlank="1" showErrorMessage="1" error="Keep the rep range short, e.g. 8-12." sqref="F95:F102">
      <formula1>20</formula1>
    </dataValidation>
  </dataValidations>
  <pageMargins left="0.7" right="0.7" top="0.75" bottom="0.75" header="0.3" footer="0.3"/>
  <pageSetup orientation="portrait" horizontalDpi="4294967295" verticalDpi="4294967295" scale="100" fitToWidth="1" fitToHeight="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A6EA5"/>
  </sheetPr>
  <dimension ref="A1:Q214"/>
  <sheetViews>
    <sheetView workbookViewId="0" showGridLines="0">
      <pane ySplit="4" topLeftCell="A5" activePane="bottomLeft" state="frozen"/>
      <selection pane="bottomLeft"/>
    </sheetView>
  </sheetViews>
  <sheetFormatPr defaultRowHeight="15" outlineLevelRow="0" outlineLevelCol="0" x14ac:dyDescent="55"/>
  <cols>
    <col min="1" max="1" width="2" customWidth="1"/>
    <col min="2" max="2" width="13" customWidth="1"/>
    <col min="3" max="3" width="18" customWidth="1"/>
    <col min="4" max="6" width="14" customWidth="1"/>
    <col min="7" max="7" width="40" customWidth="1"/>
    <col min="14" max="14" width="9" hidden="1" customWidth="1"/>
    <col min="15" max="15" width="9" hidden="1" customWidth="1"/>
    <col min="16" max="16" width="9" hidden="1" customWidth="1"/>
    <col min="17" max="17" width="9" hidden="1" customWidth="1"/>
  </cols>
  <sheetData>
    <row r="1" ht="30" customHeight="1" spans="1:15" x14ac:dyDescent="0.25">
      <c r="A1" s="14">
        <f>IF($O$1="FILL","✅  FILL OUT THIS SHEET — Workout 11",IF($O$1="SKIP","⛔  NOT NEEDED — leave this sheet blank","Start on the Start sheet: answer question 1 first"))</f>
      </c>
      <c r="B1" s="14"/>
      <c r="C1" s="14"/>
      <c r="D1" s="14"/>
      <c r="E1" s="14"/>
      <c r="F1" s="14"/>
      <c r="G1" s="14"/>
      <c r="O1">
        <f>IF(Start!$C$4="Single Workout","SKIP",IF(Start!$C$4="Program",IF(11&lt;=N(Start!$C$9),"FILL","SKIP"),""))</f>
      </c>
    </row>
    <row r="2" spans="15:15" x14ac:dyDescent="0.25">
      <c r="O2">
        <f>IF($O$1="FILL",COUNTIF($G$3:$G$214,"⚠*"),0)</f>
      </c>
    </row>
    <row r="3" ht="26" customHeight="1" spans="2:7" x14ac:dyDescent="0.25">
      <c r="B3" s="15" t="s">
        <v>42</v>
      </c>
      <c r="C3" s="16"/>
      <c r="D3" s="16"/>
      <c r="E3" s="16"/>
      <c r="F3" s="16"/>
      <c r="G3" s="17">
        <f>IFERROR(IF($O$1&lt;&gt;"FILL","",IF($C$3="","⚠ Name this workout",IF($C$3="REST","⚠ REST is reserved for rest days — pick another name",IF(COUNTIF(Lists!$A$3:$A$14,$C$3)&gt;1,"⚠ Another workout has this name",IF(COUNTA($C$7,$C$8,$C$21,$C$22,$C$35,$C$36,$C$49,$C$50,$C$63,$C$64,$C$77,$C$78,$C$91,$C$92,$C$105,$C$106,$C$119,$C$120,$C$133,$C$134,$C$147,$C$148,$C$161,$C$162,$C$175,$C$176,$C$189,$C$190,$C$203,$C$204)=0,"⚠ Add at least one exercise","✓ Looks good"))))),"⚠ Check this row")</f>
      </c>
    </row>
    <row r="4" ht="30" customHeight="1" spans="2:6" x14ac:dyDescent="0.25">
      <c r="B4" s="15" t="s">
        <v>43</v>
      </c>
      <c r="C4" s="5"/>
      <c r="D4" s="5"/>
      <c r="E4" s="5"/>
      <c r="F4" s="5"/>
    </row>
    <row r="6" spans="2:6" x14ac:dyDescent="0.25">
      <c r="B6" s="18" t="s">
        <v>44</v>
      </c>
      <c r="C6" s="19"/>
      <c r="D6" s="19"/>
      <c r="E6" s="5"/>
      <c r="F6" s="5"/>
    </row>
    <row r="7" ht="24" customHeight="1" spans="2:16" x14ac:dyDescent="0.25">
      <c r="B7" s="20" t="s">
        <v>45</v>
      </c>
      <c r="C7" s="21"/>
      <c r="D7" s="21"/>
      <c r="E7" s="21"/>
      <c r="F7" s="21"/>
      <c r="G7" s="4">
        <f>IFERROR(IF(AND($C$7="",$C$8=""),IF(COUNTA($C$6:$F$6,$E$9,$C$11:$F$18)+COUNTA($E$8,$C$9)&gt;0,"⚠ Pick an exercise for this card",""),IF(AND($C$7&lt;&gt;"",$C$8&lt;&gt;""),"⚠ Use the library OR a custom exercise, not both",IF(AND($C$8&lt;&gt;"",$E$8=""),"⚠ Pick a muscle group for the custom exercise",IF(COUNT($E$11:$E$18)=0,"⚠ Enter Goal Reps for at least one set",IF(SUM($Q$11:$Q$18)&gt;0,"⚠ A set is missing Goal Reps",IF(IF($C$9="",1=0,COUNTIF($P$7:$P$214,$C$9)&lt;2),"⚠ Superset "&amp;$C$9&amp;" needs 2+ exercises",IF($C$7&lt;&gt;"",IFERROR("✓ "&amp;INDEX('Exercise Library'!$C$2:$C$319,MATCH($C$7,'Exercise Library'!$B$2:$B$319,0))&amp;IF(INDEX('Exercise Library'!$D$2:$D$319,MATCH($C$7,'Exercise Library'!$B$2:$B$319,0))="Yes"," · demo video","")&amp;" · "&amp;COUNT($E$11:$E$18)&amp;" sets","⚠ Not in the library — use Custom"),"✓ Custom ("&amp;$E$8&amp;") · "&amp;COUNT($E$11:$E$18)&amp;" sets"))))))),"⚠ Check this row")</f>
      </c>
      <c r="P7">
        <f>IF(OR($C$7&lt;&gt;"",$C$8&lt;&gt;""),$C$9,"")</f>
      </c>
    </row>
    <row r="8" spans="2:6" x14ac:dyDescent="0.25">
      <c r="B8" s="18" t="s">
        <v>46</v>
      </c>
      <c r="C8" s="5"/>
      <c r="D8" s="5"/>
      <c r="E8" s="5"/>
      <c r="F8" s="18" t="s">
        <v>47</v>
      </c>
    </row>
    <row r="9" ht="22" customHeight="1" spans="2:6" x14ac:dyDescent="0.25">
      <c r="B9" s="18" t="s">
        <v>48</v>
      </c>
      <c r="C9" s="22"/>
      <c r="D9" s="18" t="s">
        <v>49</v>
      </c>
      <c r="E9" s="5"/>
      <c r="F9" s="5"/>
    </row>
    <row r="10" spans="2:6" x14ac:dyDescent="0.25">
      <c r="B10" s="23" t="s">
        <v>50</v>
      </c>
      <c r="C10" s="23" t="s">
        <v>51</v>
      </c>
      <c r="D10" s="23" t="s">
        <v>52</v>
      </c>
      <c r="E10" s="23" t="s">
        <v>53</v>
      </c>
      <c r="F10" s="23" t="s">
        <v>54</v>
      </c>
    </row>
    <row r="11" spans="2:17" x14ac:dyDescent="0.25">
      <c r="B11" s="24">
        <v>1</v>
      </c>
      <c r="C11" s="22"/>
      <c r="D11" s="22"/>
      <c r="E11" s="22"/>
      <c r="F11" s="22"/>
      <c r="Q11">
        <f>IF(AND($E11="",COUNTA($C11:$D11,$F11)&gt;0),1,0)</f>
      </c>
    </row>
    <row r="12" spans="2:17" x14ac:dyDescent="0.25">
      <c r="B12" s="24">
        <v>2</v>
      </c>
      <c r="C12" s="22"/>
      <c r="D12" s="22"/>
      <c r="E12" s="22"/>
      <c r="F12" s="22"/>
      <c r="Q12">
        <f>IF(AND($E12="",COUNTA($C12:$D12,$F12)&gt;0),1,0)</f>
      </c>
    </row>
    <row r="13" spans="2:17" x14ac:dyDescent="0.25">
      <c r="B13" s="24">
        <v>3</v>
      </c>
      <c r="C13" s="22"/>
      <c r="D13" s="22"/>
      <c r="E13" s="22"/>
      <c r="F13" s="22"/>
      <c r="Q13">
        <f>IF(AND($E13="",COUNTA($C13:$D13,$F13)&gt;0),1,0)</f>
      </c>
    </row>
    <row r="14" spans="2:17" x14ac:dyDescent="0.25">
      <c r="B14" s="24">
        <v>4</v>
      </c>
      <c r="C14" s="22"/>
      <c r="D14" s="22"/>
      <c r="E14" s="22"/>
      <c r="F14" s="22"/>
      <c r="Q14">
        <f>IF(AND($E14="",COUNTA($C14:$D14,$F14)&gt;0),1,0)</f>
      </c>
    </row>
    <row r="15" spans="2:17" x14ac:dyDescent="0.25">
      <c r="B15" s="24">
        <v>5</v>
      </c>
      <c r="C15" s="22"/>
      <c r="D15" s="22"/>
      <c r="E15" s="22"/>
      <c r="F15" s="22"/>
      <c r="Q15">
        <f>IF(AND($E15="",COUNTA($C15:$D15,$F15)&gt;0),1,0)</f>
      </c>
    </row>
    <row r="16" spans="2:17" x14ac:dyDescent="0.25">
      <c r="B16" s="24">
        <v>6</v>
      </c>
      <c r="C16" s="22"/>
      <c r="D16" s="22"/>
      <c r="E16" s="22"/>
      <c r="F16" s="22"/>
      <c r="Q16">
        <f>IF(AND($E16="",COUNTA($C16:$D16,$F16)&gt;0),1,0)</f>
      </c>
    </row>
    <row r="17" spans="2:17" x14ac:dyDescent="0.25">
      <c r="B17" s="24">
        <v>7</v>
      </c>
      <c r="C17" s="22"/>
      <c r="D17" s="22"/>
      <c r="E17" s="22"/>
      <c r="F17" s="22"/>
      <c r="Q17">
        <f>IF(AND($E17="",COUNTA($C17:$D17,$F17)&gt;0),1,0)</f>
      </c>
    </row>
    <row r="18" spans="2:17" x14ac:dyDescent="0.25">
      <c r="B18" s="24">
        <v>8</v>
      </c>
      <c r="C18" s="22"/>
      <c r="D18" s="22"/>
      <c r="E18" s="22"/>
      <c r="F18" s="22"/>
      <c r="Q18">
        <f>IF(AND($E18="",COUNTA($C18:$D18,$F18)&gt;0),1,0)</f>
      </c>
    </row>
    <row r="20" spans="2:6" x14ac:dyDescent="0.25">
      <c r="B20" s="18" t="s">
        <v>44</v>
      </c>
      <c r="C20" s="19"/>
      <c r="D20" s="19"/>
      <c r="E20" s="5"/>
      <c r="F20" s="5"/>
    </row>
    <row r="21" ht="24" customHeight="1" spans="2:16" x14ac:dyDescent="0.25">
      <c r="B21" s="20" t="s">
        <v>55</v>
      </c>
      <c r="C21" s="21"/>
      <c r="D21" s="21"/>
      <c r="E21" s="21"/>
      <c r="F21" s="21"/>
      <c r="G21" s="4">
        <f>IFERROR(IF(AND($C$21="",$C$22=""),IF(COUNTA($C$20:$F$20,$E$23,$C$25:$F$32)+COUNTA($E$22,$C$23)&gt;0,"⚠ Pick an exercise for this card",""),IF(AND($C$21&lt;&gt;"",$C$22&lt;&gt;""),"⚠ Use the library OR a custom exercise, not both",IF(AND($C$22&lt;&gt;"",$E$22=""),"⚠ Pick a muscle group for the custom exercise",IF(COUNT($E$25:$E$32)=0,"⚠ Enter Goal Reps for at least one set",IF(SUM($Q$25:$Q$32)&gt;0,"⚠ A set is missing Goal Reps",IF(IF($C$23="",1=0,COUNTIF($P$7:$P$214,$C$23)&lt;2),"⚠ Superset "&amp;$C$23&amp;" needs 2+ exercises",IF($C$21&lt;&gt;"",IFERROR("✓ "&amp;INDEX('Exercise Library'!$C$2:$C$319,MATCH($C$21,'Exercise Library'!$B$2:$B$319,0))&amp;IF(INDEX('Exercise Library'!$D$2:$D$319,MATCH($C$21,'Exercise Library'!$B$2:$B$319,0))="Yes"," · demo video","")&amp;" · "&amp;COUNT($E$25:$E$32)&amp;" sets","⚠ Not in the library — use Custom"),"✓ Custom ("&amp;$E$22&amp;") · "&amp;COUNT($E$25:$E$32)&amp;" sets"))))))),"⚠ Check this row")</f>
      </c>
      <c r="P21">
        <f>IF(OR($C$21&lt;&gt;"",$C$22&lt;&gt;""),$C$23,"")</f>
      </c>
    </row>
    <row r="22" spans="2:6" x14ac:dyDescent="0.25">
      <c r="B22" s="18" t="s">
        <v>46</v>
      </c>
      <c r="C22" s="5"/>
      <c r="D22" s="5"/>
      <c r="E22" s="5"/>
      <c r="F22" s="18" t="s">
        <v>47</v>
      </c>
    </row>
    <row r="23" ht="22" customHeight="1" spans="2:6" x14ac:dyDescent="0.25">
      <c r="B23" s="18" t="s">
        <v>48</v>
      </c>
      <c r="C23" s="22"/>
      <c r="D23" s="18" t="s">
        <v>49</v>
      </c>
      <c r="E23" s="5"/>
      <c r="F23" s="5"/>
    </row>
    <row r="24" spans="2:6" x14ac:dyDescent="0.25">
      <c r="B24" s="23" t="s">
        <v>50</v>
      </c>
      <c r="C24" s="23" t="s">
        <v>51</v>
      </c>
      <c r="D24" s="23" t="s">
        <v>52</v>
      </c>
      <c r="E24" s="23" t="s">
        <v>53</v>
      </c>
      <c r="F24" s="23" t="s">
        <v>54</v>
      </c>
    </row>
    <row r="25" spans="2:17" x14ac:dyDescent="0.25">
      <c r="B25" s="24">
        <v>1</v>
      </c>
      <c r="C25" s="22"/>
      <c r="D25" s="22"/>
      <c r="E25" s="22"/>
      <c r="F25" s="22"/>
      <c r="Q25">
        <f>IF(AND($E25="",COUNTA($C25:$D25,$F25)&gt;0),1,0)</f>
      </c>
    </row>
    <row r="26" spans="2:17" x14ac:dyDescent="0.25">
      <c r="B26" s="24">
        <v>2</v>
      </c>
      <c r="C26" s="22"/>
      <c r="D26" s="22"/>
      <c r="E26" s="22"/>
      <c r="F26" s="22"/>
      <c r="Q26">
        <f>IF(AND($E26="",COUNTA($C26:$D26,$F26)&gt;0),1,0)</f>
      </c>
    </row>
    <row r="27" spans="2:17" x14ac:dyDescent="0.25">
      <c r="B27" s="24">
        <v>3</v>
      </c>
      <c r="C27" s="22"/>
      <c r="D27" s="22"/>
      <c r="E27" s="22"/>
      <c r="F27" s="22"/>
      <c r="Q27">
        <f>IF(AND($E27="",COUNTA($C27:$D27,$F27)&gt;0),1,0)</f>
      </c>
    </row>
    <row r="28" spans="2:17" x14ac:dyDescent="0.25">
      <c r="B28" s="24">
        <v>4</v>
      </c>
      <c r="C28" s="22"/>
      <c r="D28" s="22"/>
      <c r="E28" s="22"/>
      <c r="F28" s="22"/>
      <c r="Q28">
        <f>IF(AND($E28="",COUNTA($C28:$D28,$F28)&gt;0),1,0)</f>
      </c>
    </row>
    <row r="29" spans="2:17" x14ac:dyDescent="0.25">
      <c r="B29" s="24">
        <v>5</v>
      </c>
      <c r="C29" s="22"/>
      <c r="D29" s="22"/>
      <c r="E29" s="22"/>
      <c r="F29" s="22"/>
      <c r="Q29">
        <f>IF(AND($E29="",COUNTA($C29:$D29,$F29)&gt;0),1,0)</f>
      </c>
    </row>
    <row r="30" spans="2:17" x14ac:dyDescent="0.25">
      <c r="B30" s="24">
        <v>6</v>
      </c>
      <c r="C30" s="22"/>
      <c r="D30" s="22"/>
      <c r="E30" s="22"/>
      <c r="F30" s="22"/>
      <c r="Q30">
        <f>IF(AND($E30="",COUNTA($C30:$D30,$F30)&gt;0),1,0)</f>
      </c>
    </row>
    <row r="31" spans="2:17" x14ac:dyDescent="0.25">
      <c r="B31" s="24">
        <v>7</v>
      </c>
      <c r="C31" s="22"/>
      <c r="D31" s="22"/>
      <c r="E31" s="22"/>
      <c r="F31" s="22"/>
      <c r="Q31">
        <f>IF(AND($E31="",COUNTA($C31:$D31,$F31)&gt;0),1,0)</f>
      </c>
    </row>
    <row r="32" spans="2:17" x14ac:dyDescent="0.25">
      <c r="B32" s="24">
        <v>8</v>
      </c>
      <c r="C32" s="22"/>
      <c r="D32" s="22"/>
      <c r="E32" s="22"/>
      <c r="F32" s="22"/>
      <c r="Q32">
        <f>IF(AND($E32="",COUNTA($C32:$D32,$F32)&gt;0),1,0)</f>
      </c>
    </row>
    <row r="34" spans="2:6" x14ac:dyDescent="0.25">
      <c r="B34" s="18" t="s">
        <v>44</v>
      </c>
      <c r="C34" s="19"/>
      <c r="D34" s="19"/>
      <c r="E34" s="5"/>
      <c r="F34" s="5"/>
    </row>
    <row r="35" ht="24" customHeight="1" spans="2:16" x14ac:dyDescent="0.25">
      <c r="B35" s="20" t="s">
        <v>56</v>
      </c>
      <c r="C35" s="21"/>
      <c r="D35" s="21"/>
      <c r="E35" s="21"/>
      <c r="F35" s="21"/>
      <c r="G35" s="4">
        <f>IFERROR(IF(AND($C$35="",$C$36=""),IF(COUNTA($C$34:$F$34,$E$37,$C$39:$F$46)+COUNTA($E$36,$C$37)&gt;0,"⚠ Pick an exercise for this card",""),IF(AND($C$35&lt;&gt;"",$C$36&lt;&gt;""),"⚠ Use the library OR a custom exercise, not both",IF(AND($C$36&lt;&gt;"",$E$36=""),"⚠ Pick a muscle group for the custom exercise",IF(COUNT($E$39:$E$46)=0,"⚠ Enter Goal Reps for at least one set",IF(SUM($Q$39:$Q$46)&gt;0,"⚠ A set is missing Goal Reps",IF(IF($C$37="",1=0,COUNTIF($P$7:$P$214,$C$37)&lt;2),"⚠ Superset "&amp;$C$37&amp;" needs 2+ exercises",IF($C$35&lt;&gt;"",IFERROR("✓ "&amp;INDEX('Exercise Library'!$C$2:$C$319,MATCH($C$35,'Exercise Library'!$B$2:$B$319,0))&amp;IF(INDEX('Exercise Library'!$D$2:$D$319,MATCH($C$35,'Exercise Library'!$B$2:$B$319,0))="Yes"," · demo video","")&amp;" · "&amp;COUNT($E$39:$E$46)&amp;" sets","⚠ Not in the library — use Custom"),"✓ Custom ("&amp;$E$36&amp;") · "&amp;COUNT($E$39:$E$46)&amp;" sets"))))))),"⚠ Check this row")</f>
      </c>
      <c r="P35">
        <f>IF(OR($C$35&lt;&gt;"",$C$36&lt;&gt;""),$C$37,"")</f>
      </c>
    </row>
    <row r="36" spans="2:6" x14ac:dyDescent="0.25">
      <c r="B36" s="18" t="s">
        <v>46</v>
      </c>
      <c r="C36" s="5"/>
      <c r="D36" s="5"/>
      <c r="E36" s="5"/>
      <c r="F36" s="18" t="s">
        <v>47</v>
      </c>
    </row>
    <row r="37" ht="22" customHeight="1" spans="2:6" x14ac:dyDescent="0.25">
      <c r="B37" s="18" t="s">
        <v>48</v>
      </c>
      <c r="C37" s="22"/>
      <c r="D37" s="18" t="s">
        <v>49</v>
      </c>
      <c r="E37" s="5"/>
      <c r="F37" s="5"/>
    </row>
    <row r="38" spans="2:6" x14ac:dyDescent="0.25">
      <c r="B38" s="23" t="s">
        <v>50</v>
      </c>
      <c r="C38" s="23" t="s">
        <v>51</v>
      </c>
      <c r="D38" s="23" t="s">
        <v>52</v>
      </c>
      <c r="E38" s="23" t="s">
        <v>53</v>
      </c>
      <c r="F38" s="23" t="s">
        <v>54</v>
      </c>
    </row>
    <row r="39" spans="2:17" x14ac:dyDescent="0.25">
      <c r="B39" s="24">
        <v>1</v>
      </c>
      <c r="C39" s="22"/>
      <c r="D39" s="22"/>
      <c r="E39" s="22"/>
      <c r="F39" s="22"/>
      <c r="Q39">
        <f>IF(AND($E39="",COUNTA($C39:$D39,$F39)&gt;0),1,0)</f>
      </c>
    </row>
    <row r="40" spans="2:17" x14ac:dyDescent="0.25">
      <c r="B40" s="24">
        <v>2</v>
      </c>
      <c r="C40" s="22"/>
      <c r="D40" s="22"/>
      <c r="E40" s="22"/>
      <c r="F40" s="22"/>
      <c r="Q40">
        <f>IF(AND($E40="",COUNTA($C40:$D40,$F40)&gt;0),1,0)</f>
      </c>
    </row>
    <row r="41" spans="2:17" x14ac:dyDescent="0.25">
      <c r="B41" s="24">
        <v>3</v>
      </c>
      <c r="C41" s="22"/>
      <c r="D41" s="22"/>
      <c r="E41" s="22"/>
      <c r="F41" s="22"/>
      <c r="Q41">
        <f>IF(AND($E41="",COUNTA($C41:$D41,$F41)&gt;0),1,0)</f>
      </c>
    </row>
    <row r="42" spans="2:17" x14ac:dyDescent="0.25">
      <c r="B42" s="24">
        <v>4</v>
      </c>
      <c r="C42" s="22"/>
      <c r="D42" s="22"/>
      <c r="E42" s="22"/>
      <c r="F42" s="22"/>
      <c r="Q42">
        <f>IF(AND($E42="",COUNTA($C42:$D42,$F42)&gt;0),1,0)</f>
      </c>
    </row>
    <row r="43" spans="2:17" x14ac:dyDescent="0.25">
      <c r="B43" s="24">
        <v>5</v>
      </c>
      <c r="C43" s="22"/>
      <c r="D43" s="22"/>
      <c r="E43" s="22"/>
      <c r="F43" s="22"/>
      <c r="Q43">
        <f>IF(AND($E43="",COUNTA($C43:$D43,$F43)&gt;0),1,0)</f>
      </c>
    </row>
    <row r="44" spans="2:17" x14ac:dyDescent="0.25">
      <c r="B44" s="24">
        <v>6</v>
      </c>
      <c r="C44" s="22"/>
      <c r="D44" s="22"/>
      <c r="E44" s="22"/>
      <c r="F44" s="22"/>
      <c r="Q44">
        <f>IF(AND($E44="",COUNTA($C44:$D44,$F44)&gt;0),1,0)</f>
      </c>
    </row>
    <row r="45" spans="2:17" x14ac:dyDescent="0.25">
      <c r="B45" s="24">
        <v>7</v>
      </c>
      <c r="C45" s="22"/>
      <c r="D45" s="22"/>
      <c r="E45" s="22"/>
      <c r="F45" s="22"/>
      <c r="Q45">
        <f>IF(AND($E45="",COUNTA($C45:$D45,$F45)&gt;0),1,0)</f>
      </c>
    </row>
    <row r="46" spans="2:17" x14ac:dyDescent="0.25">
      <c r="B46" s="24">
        <v>8</v>
      </c>
      <c r="C46" s="22"/>
      <c r="D46" s="22"/>
      <c r="E46" s="22"/>
      <c r="F46" s="22"/>
      <c r="Q46">
        <f>IF(AND($E46="",COUNTA($C46:$D46,$F46)&gt;0),1,0)</f>
      </c>
    </row>
    <row r="48" spans="2:6" x14ac:dyDescent="0.25">
      <c r="B48" s="18" t="s">
        <v>44</v>
      </c>
      <c r="C48" s="19"/>
      <c r="D48" s="19"/>
      <c r="E48" s="5"/>
      <c r="F48" s="5"/>
    </row>
    <row r="49" ht="24" customHeight="1" spans="2:16" x14ac:dyDescent="0.25">
      <c r="B49" s="20" t="s">
        <v>57</v>
      </c>
      <c r="C49" s="21"/>
      <c r="D49" s="21"/>
      <c r="E49" s="21"/>
      <c r="F49" s="21"/>
      <c r="G49" s="4">
        <f>IFERROR(IF(AND($C$49="",$C$50=""),IF(COUNTA($C$48:$F$48,$E$51,$C$53:$F$60)+COUNTA($E$50,$C$51)&gt;0,"⚠ Pick an exercise for this card",""),IF(AND($C$49&lt;&gt;"",$C$50&lt;&gt;""),"⚠ Use the library OR a custom exercise, not both",IF(AND($C$50&lt;&gt;"",$E$50=""),"⚠ Pick a muscle group for the custom exercise",IF(COUNT($E$53:$E$60)=0,"⚠ Enter Goal Reps for at least one set",IF(SUM($Q$53:$Q$60)&gt;0,"⚠ A set is missing Goal Reps",IF(IF($C$51="",1=0,COUNTIF($P$7:$P$214,$C$51)&lt;2),"⚠ Superset "&amp;$C$51&amp;" needs 2+ exercises",IF($C$49&lt;&gt;"",IFERROR("✓ "&amp;INDEX('Exercise Library'!$C$2:$C$319,MATCH($C$49,'Exercise Library'!$B$2:$B$319,0))&amp;IF(INDEX('Exercise Library'!$D$2:$D$319,MATCH($C$49,'Exercise Library'!$B$2:$B$319,0))="Yes"," · demo video","")&amp;" · "&amp;COUNT($E$53:$E$60)&amp;" sets","⚠ Not in the library — use Custom"),"✓ Custom ("&amp;$E$50&amp;") · "&amp;COUNT($E$53:$E$60)&amp;" sets"))))))),"⚠ Check this row")</f>
      </c>
      <c r="P49">
        <f>IF(OR($C$49&lt;&gt;"",$C$50&lt;&gt;""),$C$51,"")</f>
      </c>
    </row>
    <row r="50" spans="2:6" x14ac:dyDescent="0.25">
      <c r="B50" s="18" t="s">
        <v>46</v>
      </c>
      <c r="C50" s="5"/>
      <c r="D50" s="5"/>
      <c r="E50" s="5"/>
      <c r="F50" s="18" t="s">
        <v>47</v>
      </c>
    </row>
    <row r="51" ht="22" customHeight="1" spans="2:6" x14ac:dyDescent="0.25">
      <c r="B51" s="18" t="s">
        <v>48</v>
      </c>
      <c r="C51" s="22"/>
      <c r="D51" s="18" t="s">
        <v>49</v>
      </c>
      <c r="E51" s="5"/>
      <c r="F51" s="5"/>
    </row>
    <row r="52" spans="2:6" x14ac:dyDescent="0.25">
      <c r="B52" s="23" t="s">
        <v>50</v>
      </c>
      <c r="C52" s="23" t="s">
        <v>51</v>
      </c>
      <c r="D52" s="23" t="s">
        <v>52</v>
      </c>
      <c r="E52" s="23" t="s">
        <v>53</v>
      </c>
      <c r="F52" s="23" t="s">
        <v>54</v>
      </c>
    </row>
    <row r="53" spans="2:17" x14ac:dyDescent="0.25">
      <c r="B53" s="24">
        <v>1</v>
      </c>
      <c r="C53" s="22"/>
      <c r="D53" s="22"/>
      <c r="E53" s="22"/>
      <c r="F53" s="22"/>
      <c r="Q53">
        <f>IF(AND($E53="",COUNTA($C53:$D53,$F53)&gt;0),1,0)</f>
      </c>
    </row>
    <row r="54" spans="2:17" x14ac:dyDescent="0.25">
      <c r="B54" s="24">
        <v>2</v>
      </c>
      <c r="C54" s="22"/>
      <c r="D54" s="22"/>
      <c r="E54" s="22"/>
      <c r="F54" s="22"/>
      <c r="Q54">
        <f>IF(AND($E54="",COUNTA($C54:$D54,$F54)&gt;0),1,0)</f>
      </c>
    </row>
    <row r="55" spans="2:17" x14ac:dyDescent="0.25">
      <c r="B55" s="24">
        <v>3</v>
      </c>
      <c r="C55" s="22"/>
      <c r="D55" s="22"/>
      <c r="E55" s="22"/>
      <c r="F55" s="22"/>
      <c r="Q55">
        <f>IF(AND($E55="",COUNTA($C55:$D55,$F55)&gt;0),1,0)</f>
      </c>
    </row>
    <row r="56" spans="2:17" x14ac:dyDescent="0.25">
      <c r="B56" s="24">
        <v>4</v>
      </c>
      <c r="C56" s="22"/>
      <c r="D56" s="22"/>
      <c r="E56" s="22"/>
      <c r="F56" s="22"/>
      <c r="Q56">
        <f>IF(AND($E56="",COUNTA($C56:$D56,$F56)&gt;0),1,0)</f>
      </c>
    </row>
    <row r="57" spans="2:17" x14ac:dyDescent="0.25">
      <c r="B57" s="24">
        <v>5</v>
      </c>
      <c r="C57" s="22"/>
      <c r="D57" s="22"/>
      <c r="E57" s="22"/>
      <c r="F57" s="22"/>
      <c r="Q57">
        <f>IF(AND($E57="",COUNTA($C57:$D57,$F57)&gt;0),1,0)</f>
      </c>
    </row>
    <row r="58" spans="2:17" x14ac:dyDescent="0.25">
      <c r="B58" s="24">
        <v>6</v>
      </c>
      <c r="C58" s="22"/>
      <c r="D58" s="22"/>
      <c r="E58" s="22"/>
      <c r="F58" s="22"/>
      <c r="Q58">
        <f>IF(AND($E58="",COUNTA($C58:$D58,$F58)&gt;0),1,0)</f>
      </c>
    </row>
    <row r="59" spans="2:17" x14ac:dyDescent="0.25">
      <c r="B59" s="24">
        <v>7</v>
      </c>
      <c r="C59" s="22"/>
      <c r="D59" s="22"/>
      <c r="E59" s="22"/>
      <c r="F59" s="22"/>
      <c r="Q59">
        <f>IF(AND($E59="",COUNTA($C59:$D59,$F59)&gt;0),1,0)</f>
      </c>
    </row>
    <row r="60" spans="2:17" x14ac:dyDescent="0.25">
      <c r="B60" s="24">
        <v>8</v>
      </c>
      <c r="C60" s="22"/>
      <c r="D60" s="22"/>
      <c r="E60" s="22"/>
      <c r="F60" s="22"/>
      <c r="Q60">
        <f>IF(AND($E60="",COUNTA($C60:$D60,$F60)&gt;0),1,0)</f>
      </c>
    </row>
    <row r="62" spans="2:6" x14ac:dyDescent="0.25">
      <c r="B62" s="18" t="s">
        <v>44</v>
      </c>
      <c r="C62" s="19"/>
      <c r="D62" s="19"/>
      <c r="E62" s="5"/>
      <c r="F62" s="5"/>
    </row>
    <row r="63" ht="24" customHeight="1" spans="2:16" x14ac:dyDescent="0.25">
      <c r="B63" s="20" t="s">
        <v>58</v>
      </c>
      <c r="C63" s="21"/>
      <c r="D63" s="21"/>
      <c r="E63" s="21"/>
      <c r="F63" s="21"/>
      <c r="G63" s="4">
        <f>IFERROR(IF(AND($C$63="",$C$64=""),IF(COUNTA($C$62:$F$62,$E$65,$C$67:$F$74)+COUNTA($E$64,$C$65)&gt;0,"⚠ Pick an exercise for this card",""),IF(AND($C$63&lt;&gt;"",$C$64&lt;&gt;""),"⚠ Use the library OR a custom exercise, not both",IF(AND($C$64&lt;&gt;"",$E$64=""),"⚠ Pick a muscle group for the custom exercise",IF(COUNT($E$67:$E$74)=0,"⚠ Enter Goal Reps for at least one set",IF(SUM($Q$67:$Q$74)&gt;0,"⚠ A set is missing Goal Reps",IF(IF($C$65="",1=0,COUNTIF($P$7:$P$214,$C$65)&lt;2),"⚠ Superset "&amp;$C$65&amp;" needs 2+ exercises",IF($C$63&lt;&gt;"",IFERROR("✓ "&amp;INDEX('Exercise Library'!$C$2:$C$319,MATCH($C$63,'Exercise Library'!$B$2:$B$319,0))&amp;IF(INDEX('Exercise Library'!$D$2:$D$319,MATCH($C$63,'Exercise Library'!$B$2:$B$319,0))="Yes"," · demo video","")&amp;" · "&amp;COUNT($E$67:$E$74)&amp;" sets","⚠ Not in the library — use Custom"),"✓ Custom ("&amp;$E$64&amp;") · "&amp;COUNT($E$67:$E$74)&amp;" sets"))))))),"⚠ Check this row")</f>
      </c>
      <c r="P63">
        <f>IF(OR($C$63&lt;&gt;"",$C$64&lt;&gt;""),$C$65,"")</f>
      </c>
    </row>
    <row r="64" spans="2:6" x14ac:dyDescent="0.25">
      <c r="B64" s="18" t="s">
        <v>46</v>
      </c>
      <c r="C64" s="5"/>
      <c r="D64" s="5"/>
      <c r="E64" s="5"/>
      <c r="F64" s="18" t="s">
        <v>47</v>
      </c>
    </row>
    <row r="65" ht="22" customHeight="1" spans="2:6" x14ac:dyDescent="0.25">
      <c r="B65" s="18" t="s">
        <v>48</v>
      </c>
      <c r="C65" s="22"/>
      <c r="D65" s="18" t="s">
        <v>49</v>
      </c>
      <c r="E65" s="5"/>
      <c r="F65" s="5"/>
    </row>
    <row r="66" spans="2:6" x14ac:dyDescent="0.25">
      <c r="B66" s="23" t="s">
        <v>50</v>
      </c>
      <c r="C66" s="23" t="s">
        <v>51</v>
      </c>
      <c r="D66" s="23" t="s">
        <v>52</v>
      </c>
      <c r="E66" s="23" t="s">
        <v>53</v>
      </c>
      <c r="F66" s="23" t="s">
        <v>54</v>
      </c>
    </row>
    <row r="67" spans="2:17" x14ac:dyDescent="0.25">
      <c r="B67" s="24">
        <v>1</v>
      </c>
      <c r="C67" s="22"/>
      <c r="D67" s="22"/>
      <c r="E67" s="22"/>
      <c r="F67" s="22"/>
      <c r="Q67">
        <f>IF(AND($E67="",COUNTA($C67:$D67,$F67)&gt;0),1,0)</f>
      </c>
    </row>
    <row r="68" spans="2:17" x14ac:dyDescent="0.25">
      <c r="B68" s="24">
        <v>2</v>
      </c>
      <c r="C68" s="22"/>
      <c r="D68" s="22"/>
      <c r="E68" s="22"/>
      <c r="F68" s="22"/>
      <c r="Q68">
        <f>IF(AND($E68="",COUNTA($C68:$D68,$F68)&gt;0),1,0)</f>
      </c>
    </row>
    <row r="69" spans="2:17" x14ac:dyDescent="0.25">
      <c r="B69" s="24">
        <v>3</v>
      </c>
      <c r="C69" s="22"/>
      <c r="D69" s="22"/>
      <c r="E69" s="22"/>
      <c r="F69" s="22"/>
      <c r="Q69">
        <f>IF(AND($E69="",COUNTA($C69:$D69,$F69)&gt;0),1,0)</f>
      </c>
    </row>
    <row r="70" spans="2:17" x14ac:dyDescent="0.25">
      <c r="B70" s="24">
        <v>4</v>
      </c>
      <c r="C70" s="22"/>
      <c r="D70" s="22"/>
      <c r="E70" s="22"/>
      <c r="F70" s="22"/>
      <c r="Q70">
        <f>IF(AND($E70="",COUNTA($C70:$D70,$F70)&gt;0),1,0)</f>
      </c>
    </row>
    <row r="71" spans="2:17" x14ac:dyDescent="0.25">
      <c r="B71" s="24">
        <v>5</v>
      </c>
      <c r="C71" s="22"/>
      <c r="D71" s="22"/>
      <c r="E71" s="22"/>
      <c r="F71" s="22"/>
      <c r="Q71">
        <f>IF(AND($E71="",COUNTA($C71:$D71,$F71)&gt;0),1,0)</f>
      </c>
    </row>
    <row r="72" spans="2:17" x14ac:dyDescent="0.25">
      <c r="B72" s="24">
        <v>6</v>
      </c>
      <c r="C72" s="22"/>
      <c r="D72" s="22"/>
      <c r="E72" s="22"/>
      <c r="F72" s="22"/>
      <c r="Q72">
        <f>IF(AND($E72="",COUNTA($C72:$D72,$F72)&gt;0),1,0)</f>
      </c>
    </row>
    <row r="73" spans="2:17" x14ac:dyDescent="0.25">
      <c r="B73" s="24">
        <v>7</v>
      </c>
      <c r="C73" s="22"/>
      <c r="D73" s="22"/>
      <c r="E73" s="22"/>
      <c r="F73" s="22"/>
      <c r="Q73">
        <f>IF(AND($E73="",COUNTA($C73:$D73,$F73)&gt;0),1,0)</f>
      </c>
    </row>
    <row r="74" spans="2:17" x14ac:dyDescent="0.25">
      <c r="B74" s="24">
        <v>8</v>
      </c>
      <c r="C74" s="22"/>
      <c r="D74" s="22"/>
      <c r="E74" s="22"/>
      <c r="F74" s="22"/>
      <c r="Q74">
        <f>IF(AND($E74="",COUNTA($C74:$D74,$F74)&gt;0),1,0)</f>
      </c>
    </row>
    <row r="76" spans="2:6" x14ac:dyDescent="0.25">
      <c r="B76" s="18" t="s">
        <v>44</v>
      </c>
      <c r="C76" s="19"/>
      <c r="D76" s="19"/>
      <c r="E76" s="5"/>
      <c r="F76" s="5"/>
    </row>
    <row r="77" ht="24" customHeight="1" spans="2:16" x14ac:dyDescent="0.25">
      <c r="B77" s="20" t="s">
        <v>59</v>
      </c>
      <c r="C77" s="21"/>
      <c r="D77" s="21"/>
      <c r="E77" s="21"/>
      <c r="F77" s="21"/>
      <c r="G77" s="4">
        <f>IFERROR(IF(AND($C$77="",$C$78=""),IF(COUNTA($C$76:$F$76,$E$79,$C$81:$F$88)+COUNTA($E$78,$C$79)&gt;0,"⚠ Pick an exercise for this card",""),IF(AND($C$77&lt;&gt;"",$C$78&lt;&gt;""),"⚠ Use the library OR a custom exercise, not both",IF(AND($C$78&lt;&gt;"",$E$78=""),"⚠ Pick a muscle group for the custom exercise",IF(COUNT($E$81:$E$88)=0,"⚠ Enter Goal Reps for at least one set",IF(SUM($Q$81:$Q$88)&gt;0,"⚠ A set is missing Goal Reps",IF(IF($C$79="",1=0,COUNTIF($P$7:$P$214,$C$79)&lt;2),"⚠ Superset "&amp;$C$79&amp;" needs 2+ exercises",IF($C$77&lt;&gt;"",IFERROR("✓ "&amp;INDEX('Exercise Library'!$C$2:$C$319,MATCH($C$77,'Exercise Library'!$B$2:$B$319,0))&amp;IF(INDEX('Exercise Library'!$D$2:$D$319,MATCH($C$77,'Exercise Library'!$B$2:$B$319,0))="Yes"," · demo video","")&amp;" · "&amp;COUNT($E$81:$E$88)&amp;" sets","⚠ Not in the library — use Custom"),"✓ Custom ("&amp;$E$78&amp;") · "&amp;COUNT($E$81:$E$88)&amp;" sets"))))))),"⚠ Check this row")</f>
      </c>
      <c r="P77">
        <f>IF(OR($C$77&lt;&gt;"",$C$78&lt;&gt;""),$C$79,"")</f>
      </c>
    </row>
    <row r="78" spans="2:6" x14ac:dyDescent="0.25">
      <c r="B78" s="18" t="s">
        <v>46</v>
      </c>
      <c r="C78" s="5"/>
      <c r="D78" s="5"/>
      <c r="E78" s="5"/>
      <c r="F78" s="18" t="s">
        <v>47</v>
      </c>
    </row>
    <row r="79" ht="22" customHeight="1" spans="2:6" x14ac:dyDescent="0.25">
      <c r="B79" s="18" t="s">
        <v>48</v>
      </c>
      <c r="C79" s="22"/>
      <c r="D79" s="18" t="s">
        <v>49</v>
      </c>
      <c r="E79" s="5"/>
      <c r="F79" s="5"/>
    </row>
    <row r="80" spans="2:6" x14ac:dyDescent="0.25">
      <c r="B80" s="23" t="s">
        <v>50</v>
      </c>
      <c r="C80" s="23" t="s">
        <v>51</v>
      </c>
      <c r="D80" s="23" t="s">
        <v>52</v>
      </c>
      <c r="E80" s="23" t="s">
        <v>53</v>
      </c>
      <c r="F80" s="23" t="s">
        <v>54</v>
      </c>
    </row>
    <row r="81" spans="2:17" x14ac:dyDescent="0.25">
      <c r="B81" s="24">
        <v>1</v>
      </c>
      <c r="C81" s="22"/>
      <c r="D81" s="22"/>
      <c r="E81" s="22"/>
      <c r="F81" s="22"/>
      <c r="Q81">
        <f>IF(AND($E81="",COUNTA($C81:$D81,$F81)&gt;0),1,0)</f>
      </c>
    </row>
    <row r="82" spans="2:17" x14ac:dyDescent="0.25">
      <c r="B82" s="24">
        <v>2</v>
      </c>
      <c r="C82" s="22"/>
      <c r="D82" s="22"/>
      <c r="E82" s="22"/>
      <c r="F82" s="22"/>
      <c r="Q82">
        <f>IF(AND($E82="",COUNTA($C82:$D82,$F82)&gt;0),1,0)</f>
      </c>
    </row>
    <row r="83" spans="2:17" x14ac:dyDescent="0.25">
      <c r="B83" s="24">
        <v>3</v>
      </c>
      <c r="C83" s="22"/>
      <c r="D83" s="22"/>
      <c r="E83" s="22"/>
      <c r="F83" s="22"/>
      <c r="Q83">
        <f>IF(AND($E83="",COUNTA($C83:$D83,$F83)&gt;0),1,0)</f>
      </c>
    </row>
    <row r="84" spans="2:17" x14ac:dyDescent="0.25">
      <c r="B84" s="24">
        <v>4</v>
      </c>
      <c r="C84" s="22"/>
      <c r="D84" s="22"/>
      <c r="E84" s="22"/>
      <c r="F84" s="22"/>
      <c r="Q84">
        <f>IF(AND($E84="",COUNTA($C84:$D84,$F84)&gt;0),1,0)</f>
      </c>
    </row>
    <row r="85" spans="2:17" x14ac:dyDescent="0.25">
      <c r="B85" s="24">
        <v>5</v>
      </c>
      <c r="C85" s="22"/>
      <c r="D85" s="22"/>
      <c r="E85" s="22"/>
      <c r="F85" s="22"/>
      <c r="Q85">
        <f>IF(AND($E85="",COUNTA($C85:$D85,$F85)&gt;0),1,0)</f>
      </c>
    </row>
    <row r="86" spans="2:17" x14ac:dyDescent="0.25">
      <c r="B86" s="24">
        <v>6</v>
      </c>
      <c r="C86" s="22"/>
      <c r="D86" s="22"/>
      <c r="E86" s="22"/>
      <c r="F86" s="22"/>
      <c r="Q86">
        <f>IF(AND($E86="",COUNTA($C86:$D86,$F86)&gt;0),1,0)</f>
      </c>
    </row>
    <row r="87" spans="2:17" x14ac:dyDescent="0.25">
      <c r="B87" s="24">
        <v>7</v>
      </c>
      <c r="C87" s="22"/>
      <c r="D87" s="22"/>
      <c r="E87" s="22"/>
      <c r="F87" s="22"/>
      <c r="Q87">
        <f>IF(AND($E87="",COUNTA($C87:$D87,$F87)&gt;0),1,0)</f>
      </c>
    </row>
    <row r="88" spans="2:17" x14ac:dyDescent="0.25">
      <c r="B88" s="24">
        <v>8</v>
      </c>
      <c r="C88" s="22"/>
      <c r="D88" s="22"/>
      <c r="E88" s="22"/>
      <c r="F88" s="22"/>
      <c r="Q88">
        <f>IF(AND($E88="",COUNTA($C88:$D88,$F88)&gt;0),1,0)</f>
      </c>
    </row>
    <row r="90" spans="2:6" x14ac:dyDescent="0.25">
      <c r="B90" s="18" t="s">
        <v>44</v>
      </c>
      <c r="C90" s="19"/>
      <c r="D90" s="19"/>
      <c r="E90" s="5"/>
      <c r="F90" s="5"/>
    </row>
    <row r="91" ht="24" customHeight="1" spans="2:16" x14ac:dyDescent="0.25">
      <c r="B91" s="20" t="s">
        <v>60</v>
      </c>
      <c r="C91" s="21"/>
      <c r="D91" s="21"/>
      <c r="E91" s="21"/>
      <c r="F91" s="21"/>
      <c r="G91" s="4">
        <f>IFERROR(IF(AND($C$91="",$C$92=""),IF(COUNTA($C$90:$F$90,$E$93,$C$95:$F$102)+COUNTA($E$92,$C$93)&gt;0,"⚠ Pick an exercise for this card",""),IF(AND($C$91&lt;&gt;"",$C$92&lt;&gt;""),"⚠ Use the library OR a custom exercise, not both",IF(AND($C$92&lt;&gt;"",$E$92=""),"⚠ Pick a muscle group for the custom exercise",IF(COUNT($E$95:$E$102)=0,"⚠ Enter Goal Reps for at least one set",IF(SUM($Q$95:$Q$102)&gt;0,"⚠ A set is missing Goal Reps",IF(IF($C$93="",1=0,COUNTIF($P$7:$P$214,$C$93)&lt;2),"⚠ Superset "&amp;$C$93&amp;" needs 2+ exercises",IF($C$91&lt;&gt;"",IFERROR("✓ "&amp;INDEX('Exercise Library'!$C$2:$C$319,MATCH($C$91,'Exercise Library'!$B$2:$B$319,0))&amp;IF(INDEX('Exercise Library'!$D$2:$D$319,MATCH($C$91,'Exercise Library'!$B$2:$B$319,0))="Yes"," · demo video","")&amp;" · "&amp;COUNT($E$95:$E$102)&amp;" sets","⚠ Not in the library — use Custom"),"✓ Custom ("&amp;$E$92&amp;") · "&amp;COUNT($E$95:$E$102)&amp;" sets"))))))),"⚠ Check this row")</f>
      </c>
      <c r="P91">
        <f>IF(OR($C$91&lt;&gt;"",$C$92&lt;&gt;""),$C$93,"")</f>
      </c>
    </row>
    <row r="92" spans="2:6" x14ac:dyDescent="0.25">
      <c r="B92" s="18" t="s">
        <v>46</v>
      </c>
      <c r="C92" s="5"/>
      <c r="D92" s="5"/>
      <c r="E92" s="5"/>
      <c r="F92" s="18" t="s">
        <v>47</v>
      </c>
    </row>
    <row r="93" ht="22" customHeight="1" spans="2:6" x14ac:dyDescent="0.25">
      <c r="B93" s="18" t="s">
        <v>48</v>
      </c>
      <c r="C93" s="22"/>
      <c r="D93" s="18" t="s">
        <v>49</v>
      </c>
      <c r="E93" s="5"/>
      <c r="F93" s="5"/>
    </row>
    <row r="94" spans="2:6" x14ac:dyDescent="0.25">
      <c r="B94" s="23" t="s">
        <v>50</v>
      </c>
      <c r="C94" s="23" t="s">
        <v>51</v>
      </c>
      <c r="D94" s="23" t="s">
        <v>52</v>
      </c>
      <c r="E94" s="23" t="s">
        <v>53</v>
      </c>
      <c r="F94" s="23" t="s">
        <v>54</v>
      </c>
    </row>
    <row r="95" spans="2:17" x14ac:dyDescent="0.25">
      <c r="B95" s="24">
        <v>1</v>
      </c>
      <c r="C95" s="22"/>
      <c r="D95" s="22"/>
      <c r="E95" s="22"/>
      <c r="F95" s="22"/>
      <c r="Q95">
        <f>IF(AND($E95="",COUNTA($C95:$D95,$F95)&gt;0),1,0)</f>
      </c>
    </row>
    <row r="96" spans="2:17" x14ac:dyDescent="0.25">
      <c r="B96" s="24">
        <v>2</v>
      </c>
      <c r="C96" s="22"/>
      <c r="D96" s="22"/>
      <c r="E96" s="22"/>
      <c r="F96" s="22"/>
      <c r="Q96">
        <f>IF(AND($E96="",COUNTA($C96:$D96,$F96)&gt;0),1,0)</f>
      </c>
    </row>
    <row r="97" spans="2:17" x14ac:dyDescent="0.25">
      <c r="B97" s="24">
        <v>3</v>
      </c>
      <c r="C97" s="22"/>
      <c r="D97" s="22"/>
      <c r="E97" s="22"/>
      <c r="F97" s="22"/>
      <c r="Q97">
        <f>IF(AND($E97="",COUNTA($C97:$D97,$F97)&gt;0),1,0)</f>
      </c>
    </row>
    <row r="98" spans="2:17" x14ac:dyDescent="0.25">
      <c r="B98" s="24">
        <v>4</v>
      </c>
      <c r="C98" s="22"/>
      <c r="D98" s="22"/>
      <c r="E98" s="22"/>
      <c r="F98" s="22"/>
      <c r="Q98">
        <f>IF(AND($E98="",COUNTA($C98:$D98,$F98)&gt;0),1,0)</f>
      </c>
    </row>
    <row r="99" spans="2:17" x14ac:dyDescent="0.25">
      <c r="B99" s="24">
        <v>5</v>
      </c>
      <c r="C99" s="22"/>
      <c r="D99" s="22"/>
      <c r="E99" s="22"/>
      <c r="F99" s="22"/>
      <c r="Q99">
        <f>IF(AND($E99="",COUNTA($C99:$D99,$F99)&gt;0),1,0)</f>
      </c>
    </row>
    <row r="100" spans="2:17" x14ac:dyDescent="0.25">
      <c r="B100" s="24">
        <v>6</v>
      </c>
      <c r="C100" s="22"/>
      <c r="D100" s="22"/>
      <c r="E100" s="22"/>
      <c r="F100" s="22"/>
      <c r="Q100">
        <f>IF(AND($E100="",COUNTA($C100:$D100,$F100)&gt;0),1,0)</f>
      </c>
    </row>
    <row r="101" spans="2:17" x14ac:dyDescent="0.25">
      <c r="B101" s="24">
        <v>7</v>
      </c>
      <c r="C101" s="22"/>
      <c r="D101" s="22"/>
      <c r="E101" s="22"/>
      <c r="F101" s="22"/>
      <c r="Q101">
        <f>IF(AND($E101="",COUNTA($C101:$D101,$F101)&gt;0),1,0)</f>
      </c>
    </row>
    <row r="102" spans="2:17" x14ac:dyDescent="0.25">
      <c r="B102" s="24">
        <v>8</v>
      </c>
      <c r="C102" s="22"/>
      <c r="D102" s="22"/>
      <c r="E102" s="22"/>
      <c r="F102" s="22"/>
      <c r="Q102">
        <f>IF(AND($E102="",COUNTA($C102:$D102,$F102)&gt;0),1,0)</f>
      </c>
    </row>
    <row r="104" spans="2:6" x14ac:dyDescent="0.25">
      <c r="B104" s="18" t="s">
        <v>44</v>
      </c>
      <c r="C104" s="19"/>
      <c r="D104" s="19"/>
      <c r="E104" s="5"/>
      <c r="F104" s="5"/>
    </row>
    <row r="105" ht="24" customHeight="1" spans="2:16" x14ac:dyDescent="0.25">
      <c r="B105" s="20" t="s">
        <v>61</v>
      </c>
      <c r="C105" s="21"/>
      <c r="D105" s="21"/>
      <c r="E105" s="21"/>
      <c r="F105" s="21"/>
      <c r="G105" s="4">
        <f>IFERROR(IF(AND($C$105="",$C$106=""),IF(COUNTA($C$104:$F$104,$E$107,$C$109:$F$116)+COUNTA($E$106,$C$107)&gt;0,"⚠ Pick an exercise for this card",""),IF(AND($C$105&lt;&gt;"",$C$106&lt;&gt;""),"⚠ Use the library OR a custom exercise, not both",IF(AND($C$106&lt;&gt;"",$E$106=""),"⚠ Pick a muscle group for the custom exercise",IF(COUNT($E$109:$E$116)=0,"⚠ Enter Goal Reps for at least one set",IF(SUM($Q$109:$Q$116)&gt;0,"⚠ A set is missing Goal Reps",IF(IF($C$107="",1=0,COUNTIF($P$7:$P$214,$C$107)&lt;2),"⚠ Superset "&amp;$C$107&amp;" needs 2+ exercises",IF($C$105&lt;&gt;"",IFERROR("✓ "&amp;INDEX('Exercise Library'!$C$2:$C$319,MATCH($C$105,'Exercise Library'!$B$2:$B$319,0))&amp;IF(INDEX('Exercise Library'!$D$2:$D$319,MATCH($C$105,'Exercise Library'!$B$2:$B$319,0))="Yes"," · demo video","")&amp;" · "&amp;COUNT($E$109:$E$116)&amp;" sets","⚠ Not in the library — use Custom"),"✓ Custom ("&amp;$E$106&amp;") · "&amp;COUNT($E$109:$E$116)&amp;" sets"))))))),"⚠ Check this row")</f>
      </c>
      <c r="P105">
        <f>IF(OR($C$105&lt;&gt;"",$C$106&lt;&gt;""),$C$107,"")</f>
      </c>
    </row>
    <row r="106" spans="2:6" x14ac:dyDescent="0.25">
      <c r="B106" s="18" t="s">
        <v>46</v>
      </c>
      <c r="C106" s="5"/>
      <c r="D106" s="5"/>
      <c r="E106" s="5"/>
      <c r="F106" s="18" t="s">
        <v>47</v>
      </c>
    </row>
    <row r="107" ht="22" customHeight="1" spans="2:6" x14ac:dyDescent="0.25">
      <c r="B107" s="18" t="s">
        <v>48</v>
      </c>
      <c r="C107" s="22"/>
      <c r="D107" s="18" t="s">
        <v>49</v>
      </c>
      <c r="E107" s="5"/>
      <c r="F107" s="5"/>
    </row>
    <row r="108" spans="2:6" x14ac:dyDescent="0.25">
      <c r="B108" s="23" t="s">
        <v>50</v>
      </c>
      <c r="C108" s="23" t="s">
        <v>51</v>
      </c>
      <c r="D108" s="23" t="s">
        <v>52</v>
      </c>
      <c r="E108" s="23" t="s">
        <v>53</v>
      </c>
      <c r="F108" s="23" t="s">
        <v>54</v>
      </c>
    </row>
    <row r="109" spans="2:17" x14ac:dyDescent="0.25">
      <c r="B109" s="24">
        <v>1</v>
      </c>
      <c r="C109" s="22"/>
      <c r="D109" s="22"/>
      <c r="E109" s="22"/>
      <c r="F109" s="22"/>
      <c r="Q109">
        <f>IF(AND($E109="",COUNTA($C109:$D109,$F109)&gt;0),1,0)</f>
      </c>
    </row>
    <row r="110" spans="2:17" x14ac:dyDescent="0.25">
      <c r="B110" s="24">
        <v>2</v>
      </c>
      <c r="C110" s="22"/>
      <c r="D110" s="22"/>
      <c r="E110" s="22"/>
      <c r="F110" s="22"/>
      <c r="Q110">
        <f>IF(AND($E110="",COUNTA($C110:$D110,$F110)&gt;0),1,0)</f>
      </c>
    </row>
    <row r="111" spans="2:17" x14ac:dyDescent="0.25">
      <c r="B111" s="24">
        <v>3</v>
      </c>
      <c r="C111" s="22"/>
      <c r="D111" s="22"/>
      <c r="E111" s="22"/>
      <c r="F111" s="22"/>
      <c r="Q111">
        <f>IF(AND($E111="",COUNTA($C111:$D111,$F111)&gt;0),1,0)</f>
      </c>
    </row>
    <row r="112" spans="2:17" x14ac:dyDescent="0.25">
      <c r="B112" s="24">
        <v>4</v>
      </c>
      <c r="C112" s="22"/>
      <c r="D112" s="22"/>
      <c r="E112" s="22"/>
      <c r="F112" s="22"/>
      <c r="Q112">
        <f>IF(AND($E112="",COUNTA($C112:$D112,$F112)&gt;0),1,0)</f>
      </c>
    </row>
    <row r="113" spans="2:17" x14ac:dyDescent="0.25">
      <c r="B113" s="24">
        <v>5</v>
      </c>
      <c r="C113" s="22"/>
      <c r="D113" s="22"/>
      <c r="E113" s="22"/>
      <c r="F113" s="22"/>
      <c r="Q113">
        <f>IF(AND($E113="",COUNTA($C113:$D113,$F113)&gt;0),1,0)</f>
      </c>
    </row>
    <row r="114" spans="2:17" x14ac:dyDescent="0.25">
      <c r="B114" s="24">
        <v>6</v>
      </c>
      <c r="C114" s="22"/>
      <c r="D114" s="22"/>
      <c r="E114" s="22"/>
      <c r="F114" s="22"/>
      <c r="Q114">
        <f>IF(AND($E114="",COUNTA($C114:$D114,$F114)&gt;0),1,0)</f>
      </c>
    </row>
    <row r="115" spans="2:17" x14ac:dyDescent="0.25">
      <c r="B115" s="24">
        <v>7</v>
      </c>
      <c r="C115" s="22"/>
      <c r="D115" s="22"/>
      <c r="E115" s="22"/>
      <c r="F115" s="22"/>
      <c r="Q115">
        <f>IF(AND($E115="",COUNTA($C115:$D115,$F115)&gt;0),1,0)</f>
      </c>
    </row>
    <row r="116" spans="2:17" x14ac:dyDescent="0.25">
      <c r="B116" s="24">
        <v>8</v>
      </c>
      <c r="C116" s="22"/>
      <c r="D116" s="22"/>
      <c r="E116" s="22"/>
      <c r="F116" s="22"/>
      <c r="Q116">
        <f>IF(AND($E116="",COUNTA($C116:$D116,$F116)&gt;0),1,0)</f>
      </c>
    </row>
    <row r="118" spans="2:6" x14ac:dyDescent="0.25">
      <c r="B118" s="18" t="s">
        <v>44</v>
      </c>
      <c r="C118" s="19"/>
      <c r="D118" s="19"/>
      <c r="E118" s="5"/>
      <c r="F118" s="5"/>
    </row>
    <row r="119" ht="24" customHeight="1" spans="2:16" x14ac:dyDescent="0.25">
      <c r="B119" s="20" t="s">
        <v>62</v>
      </c>
      <c r="C119" s="21"/>
      <c r="D119" s="21"/>
      <c r="E119" s="21"/>
      <c r="F119" s="21"/>
      <c r="G119" s="4">
        <f>IFERROR(IF(AND($C$119="",$C$120=""),IF(COUNTA($C$118:$F$118,$E$121,$C$123:$F$130)+COUNTA($E$120,$C$121)&gt;0,"⚠ Pick an exercise for this card",""),IF(AND($C$119&lt;&gt;"",$C$120&lt;&gt;""),"⚠ Use the library OR a custom exercise, not both",IF(AND($C$120&lt;&gt;"",$E$120=""),"⚠ Pick a muscle group for the custom exercise",IF(COUNT($E$123:$E$130)=0,"⚠ Enter Goal Reps for at least one set",IF(SUM($Q$123:$Q$130)&gt;0,"⚠ A set is missing Goal Reps",IF(IF($C$121="",1=0,COUNTIF($P$7:$P$214,$C$121)&lt;2),"⚠ Superset "&amp;$C$121&amp;" needs 2+ exercises",IF($C$119&lt;&gt;"",IFERROR("✓ "&amp;INDEX('Exercise Library'!$C$2:$C$319,MATCH($C$119,'Exercise Library'!$B$2:$B$319,0))&amp;IF(INDEX('Exercise Library'!$D$2:$D$319,MATCH($C$119,'Exercise Library'!$B$2:$B$319,0))="Yes"," · demo video","")&amp;" · "&amp;COUNT($E$123:$E$130)&amp;" sets","⚠ Not in the library — use Custom"),"✓ Custom ("&amp;$E$120&amp;") · "&amp;COUNT($E$123:$E$130)&amp;" sets"))))))),"⚠ Check this row")</f>
      </c>
      <c r="P119">
        <f>IF(OR($C$119&lt;&gt;"",$C$120&lt;&gt;""),$C$121,"")</f>
      </c>
    </row>
    <row r="120" spans="2:6" x14ac:dyDescent="0.25">
      <c r="B120" s="18" t="s">
        <v>46</v>
      </c>
      <c r="C120" s="5"/>
      <c r="D120" s="5"/>
      <c r="E120" s="5"/>
      <c r="F120" s="18" t="s">
        <v>47</v>
      </c>
    </row>
    <row r="121" ht="22" customHeight="1" spans="2:6" x14ac:dyDescent="0.25">
      <c r="B121" s="18" t="s">
        <v>48</v>
      </c>
      <c r="C121" s="22"/>
      <c r="D121" s="18" t="s">
        <v>49</v>
      </c>
      <c r="E121" s="5"/>
      <c r="F121" s="5"/>
    </row>
    <row r="122" spans="2:6" x14ac:dyDescent="0.25">
      <c r="B122" s="23" t="s">
        <v>50</v>
      </c>
      <c r="C122" s="23" t="s">
        <v>51</v>
      </c>
      <c r="D122" s="23" t="s">
        <v>52</v>
      </c>
      <c r="E122" s="23" t="s">
        <v>53</v>
      </c>
      <c r="F122" s="23" t="s">
        <v>54</v>
      </c>
    </row>
    <row r="123" spans="2:17" x14ac:dyDescent="0.25">
      <c r="B123" s="24">
        <v>1</v>
      </c>
      <c r="C123" s="22"/>
      <c r="D123" s="22"/>
      <c r="E123" s="22"/>
      <c r="F123" s="22"/>
      <c r="Q123">
        <f>IF(AND($E123="",COUNTA($C123:$D123,$F123)&gt;0),1,0)</f>
      </c>
    </row>
    <row r="124" spans="2:17" x14ac:dyDescent="0.25">
      <c r="B124" s="24">
        <v>2</v>
      </c>
      <c r="C124" s="22"/>
      <c r="D124" s="22"/>
      <c r="E124" s="22"/>
      <c r="F124" s="22"/>
      <c r="Q124">
        <f>IF(AND($E124="",COUNTA($C124:$D124,$F124)&gt;0),1,0)</f>
      </c>
    </row>
    <row r="125" spans="2:17" x14ac:dyDescent="0.25">
      <c r="B125" s="24">
        <v>3</v>
      </c>
      <c r="C125" s="22"/>
      <c r="D125" s="22"/>
      <c r="E125" s="22"/>
      <c r="F125" s="22"/>
      <c r="Q125">
        <f>IF(AND($E125="",COUNTA($C125:$D125,$F125)&gt;0),1,0)</f>
      </c>
    </row>
    <row r="126" spans="2:17" x14ac:dyDescent="0.25">
      <c r="B126" s="24">
        <v>4</v>
      </c>
      <c r="C126" s="22"/>
      <c r="D126" s="22"/>
      <c r="E126" s="22"/>
      <c r="F126" s="22"/>
      <c r="Q126">
        <f>IF(AND($E126="",COUNTA($C126:$D126,$F126)&gt;0),1,0)</f>
      </c>
    </row>
    <row r="127" spans="2:17" x14ac:dyDescent="0.25">
      <c r="B127" s="24">
        <v>5</v>
      </c>
      <c r="C127" s="22"/>
      <c r="D127" s="22"/>
      <c r="E127" s="22"/>
      <c r="F127" s="22"/>
      <c r="Q127">
        <f>IF(AND($E127="",COUNTA($C127:$D127,$F127)&gt;0),1,0)</f>
      </c>
    </row>
    <row r="128" spans="2:17" x14ac:dyDescent="0.25">
      <c r="B128" s="24">
        <v>6</v>
      </c>
      <c r="C128" s="22"/>
      <c r="D128" s="22"/>
      <c r="E128" s="22"/>
      <c r="F128" s="22"/>
      <c r="Q128">
        <f>IF(AND($E128="",COUNTA($C128:$D128,$F128)&gt;0),1,0)</f>
      </c>
    </row>
    <row r="129" spans="2:17" x14ac:dyDescent="0.25">
      <c r="B129" s="24">
        <v>7</v>
      </c>
      <c r="C129" s="22"/>
      <c r="D129" s="22"/>
      <c r="E129" s="22"/>
      <c r="F129" s="22"/>
      <c r="Q129">
        <f>IF(AND($E129="",COUNTA($C129:$D129,$F129)&gt;0),1,0)</f>
      </c>
    </row>
    <row r="130" spans="2:17" x14ac:dyDescent="0.25">
      <c r="B130" s="24">
        <v>8</v>
      </c>
      <c r="C130" s="22"/>
      <c r="D130" s="22"/>
      <c r="E130" s="22"/>
      <c r="F130" s="22"/>
      <c r="Q130">
        <f>IF(AND($E130="",COUNTA($C130:$D130,$F130)&gt;0),1,0)</f>
      </c>
    </row>
    <row r="132" spans="2:6" x14ac:dyDescent="0.25">
      <c r="B132" s="18" t="s">
        <v>44</v>
      </c>
      <c r="C132" s="19"/>
      <c r="D132" s="19"/>
      <c r="E132" s="5"/>
      <c r="F132" s="5"/>
    </row>
    <row r="133" ht="24" customHeight="1" spans="2:16" x14ac:dyDescent="0.25">
      <c r="B133" s="20" t="s">
        <v>63</v>
      </c>
      <c r="C133" s="21"/>
      <c r="D133" s="21"/>
      <c r="E133" s="21"/>
      <c r="F133" s="21"/>
      <c r="G133" s="4">
        <f>IFERROR(IF(AND($C$133="",$C$134=""),IF(COUNTA($C$132:$F$132,$E$135,$C$137:$F$144)+COUNTA($E$134,$C$135)&gt;0,"⚠ Pick an exercise for this card",""),IF(AND($C$133&lt;&gt;"",$C$134&lt;&gt;""),"⚠ Use the library OR a custom exercise, not both",IF(AND($C$134&lt;&gt;"",$E$134=""),"⚠ Pick a muscle group for the custom exercise",IF(COUNT($E$137:$E$144)=0,"⚠ Enter Goal Reps for at least one set",IF(SUM($Q$137:$Q$144)&gt;0,"⚠ A set is missing Goal Reps",IF(IF($C$135="",1=0,COUNTIF($P$7:$P$214,$C$135)&lt;2),"⚠ Superset "&amp;$C$135&amp;" needs 2+ exercises",IF($C$133&lt;&gt;"",IFERROR("✓ "&amp;INDEX('Exercise Library'!$C$2:$C$319,MATCH($C$133,'Exercise Library'!$B$2:$B$319,0))&amp;IF(INDEX('Exercise Library'!$D$2:$D$319,MATCH($C$133,'Exercise Library'!$B$2:$B$319,0))="Yes"," · demo video","")&amp;" · "&amp;COUNT($E$137:$E$144)&amp;" sets","⚠ Not in the library — use Custom"),"✓ Custom ("&amp;$E$134&amp;") · "&amp;COUNT($E$137:$E$144)&amp;" sets"))))))),"⚠ Check this row")</f>
      </c>
      <c r="P133">
        <f>IF(OR($C$133&lt;&gt;"",$C$134&lt;&gt;""),$C$135,"")</f>
      </c>
    </row>
    <row r="134" spans="2:6" x14ac:dyDescent="0.25">
      <c r="B134" s="18" t="s">
        <v>46</v>
      </c>
      <c r="C134" s="5"/>
      <c r="D134" s="5"/>
      <c r="E134" s="5"/>
      <c r="F134" s="18" t="s">
        <v>47</v>
      </c>
    </row>
    <row r="135" ht="22" customHeight="1" spans="2:6" x14ac:dyDescent="0.25">
      <c r="B135" s="18" t="s">
        <v>48</v>
      </c>
      <c r="C135" s="22"/>
      <c r="D135" s="18" t="s">
        <v>49</v>
      </c>
      <c r="E135" s="5"/>
      <c r="F135" s="5"/>
    </row>
    <row r="136" spans="2:6" x14ac:dyDescent="0.25">
      <c r="B136" s="23" t="s">
        <v>50</v>
      </c>
      <c r="C136" s="23" t="s">
        <v>51</v>
      </c>
      <c r="D136" s="23" t="s">
        <v>52</v>
      </c>
      <c r="E136" s="23" t="s">
        <v>53</v>
      </c>
      <c r="F136" s="23" t="s">
        <v>54</v>
      </c>
    </row>
    <row r="137" spans="2:17" x14ac:dyDescent="0.25">
      <c r="B137" s="24">
        <v>1</v>
      </c>
      <c r="C137" s="22"/>
      <c r="D137" s="22"/>
      <c r="E137" s="22"/>
      <c r="F137" s="22"/>
      <c r="Q137">
        <f>IF(AND($E137="",COUNTA($C137:$D137,$F137)&gt;0),1,0)</f>
      </c>
    </row>
    <row r="138" spans="2:17" x14ac:dyDescent="0.25">
      <c r="B138" s="24">
        <v>2</v>
      </c>
      <c r="C138" s="22"/>
      <c r="D138" s="22"/>
      <c r="E138" s="22"/>
      <c r="F138" s="22"/>
      <c r="Q138">
        <f>IF(AND($E138="",COUNTA($C138:$D138,$F138)&gt;0),1,0)</f>
      </c>
    </row>
    <row r="139" spans="2:17" x14ac:dyDescent="0.25">
      <c r="B139" s="24">
        <v>3</v>
      </c>
      <c r="C139" s="22"/>
      <c r="D139" s="22"/>
      <c r="E139" s="22"/>
      <c r="F139" s="22"/>
      <c r="Q139">
        <f>IF(AND($E139="",COUNTA($C139:$D139,$F139)&gt;0),1,0)</f>
      </c>
    </row>
    <row r="140" spans="2:17" x14ac:dyDescent="0.25">
      <c r="B140" s="24">
        <v>4</v>
      </c>
      <c r="C140" s="22"/>
      <c r="D140" s="22"/>
      <c r="E140" s="22"/>
      <c r="F140" s="22"/>
      <c r="Q140">
        <f>IF(AND($E140="",COUNTA($C140:$D140,$F140)&gt;0),1,0)</f>
      </c>
    </row>
    <row r="141" spans="2:17" x14ac:dyDescent="0.25">
      <c r="B141" s="24">
        <v>5</v>
      </c>
      <c r="C141" s="22"/>
      <c r="D141" s="22"/>
      <c r="E141" s="22"/>
      <c r="F141" s="22"/>
      <c r="Q141">
        <f>IF(AND($E141="",COUNTA($C141:$D141,$F141)&gt;0),1,0)</f>
      </c>
    </row>
    <row r="142" spans="2:17" x14ac:dyDescent="0.25">
      <c r="B142" s="24">
        <v>6</v>
      </c>
      <c r="C142" s="22"/>
      <c r="D142" s="22"/>
      <c r="E142" s="22"/>
      <c r="F142" s="22"/>
      <c r="Q142">
        <f>IF(AND($E142="",COUNTA($C142:$D142,$F142)&gt;0),1,0)</f>
      </c>
    </row>
    <row r="143" spans="2:17" x14ac:dyDescent="0.25">
      <c r="B143" s="24">
        <v>7</v>
      </c>
      <c r="C143" s="22"/>
      <c r="D143" s="22"/>
      <c r="E143" s="22"/>
      <c r="F143" s="22"/>
      <c r="Q143">
        <f>IF(AND($E143="",COUNTA($C143:$D143,$F143)&gt;0),1,0)</f>
      </c>
    </row>
    <row r="144" spans="2:17" x14ac:dyDescent="0.25">
      <c r="B144" s="24">
        <v>8</v>
      </c>
      <c r="C144" s="22"/>
      <c r="D144" s="22"/>
      <c r="E144" s="22"/>
      <c r="F144" s="22"/>
      <c r="Q144">
        <f>IF(AND($E144="",COUNTA($C144:$D144,$F144)&gt;0),1,0)</f>
      </c>
    </row>
    <row r="146" spans="2:6" x14ac:dyDescent="0.25">
      <c r="B146" s="18" t="s">
        <v>44</v>
      </c>
      <c r="C146" s="19"/>
      <c r="D146" s="19"/>
      <c r="E146" s="5"/>
      <c r="F146" s="5"/>
    </row>
    <row r="147" ht="24" customHeight="1" spans="2:16" x14ac:dyDescent="0.25">
      <c r="B147" s="20" t="s">
        <v>64</v>
      </c>
      <c r="C147" s="21"/>
      <c r="D147" s="21"/>
      <c r="E147" s="21"/>
      <c r="F147" s="21"/>
      <c r="G147" s="4">
        <f>IFERROR(IF(AND($C$147="",$C$148=""),IF(COUNTA($C$146:$F$146,$E$149,$C$151:$F$158)+COUNTA($E$148,$C$149)&gt;0,"⚠ Pick an exercise for this card",""),IF(AND($C$147&lt;&gt;"",$C$148&lt;&gt;""),"⚠ Use the library OR a custom exercise, not both",IF(AND($C$148&lt;&gt;"",$E$148=""),"⚠ Pick a muscle group for the custom exercise",IF(COUNT($E$151:$E$158)=0,"⚠ Enter Goal Reps for at least one set",IF(SUM($Q$151:$Q$158)&gt;0,"⚠ A set is missing Goal Reps",IF(IF($C$149="",1=0,COUNTIF($P$7:$P$214,$C$149)&lt;2),"⚠ Superset "&amp;$C$149&amp;" needs 2+ exercises",IF($C$147&lt;&gt;"",IFERROR("✓ "&amp;INDEX('Exercise Library'!$C$2:$C$319,MATCH($C$147,'Exercise Library'!$B$2:$B$319,0))&amp;IF(INDEX('Exercise Library'!$D$2:$D$319,MATCH($C$147,'Exercise Library'!$B$2:$B$319,0))="Yes"," · demo video","")&amp;" · "&amp;COUNT($E$151:$E$158)&amp;" sets","⚠ Not in the library — use Custom"),"✓ Custom ("&amp;$E$148&amp;") · "&amp;COUNT($E$151:$E$158)&amp;" sets"))))))),"⚠ Check this row")</f>
      </c>
      <c r="P147">
        <f>IF(OR($C$147&lt;&gt;"",$C$148&lt;&gt;""),$C$149,"")</f>
      </c>
    </row>
    <row r="148" spans="2:6" x14ac:dyDescent="0.25">
      <c r="B148" s="18" t="s">
        <v>46</v>
      </c>
      <c r="C148" s="5"/>
      <c r="D148" s="5"/>
      <c r="E148" s="5"/>
      <c r="F148" s="18" t="s">
        <v>47</v>
      </c>
    </row>
    <row r="149" ht="22" customHeight="1" spans="2:6" x14ac:dyDescent="0.25">
      <c r="B149" s="18" t="s">
        <v>48</v>
      </c>
      <c r="C149" s="22"/>
      <c r="D149" s="18" t="s">
        <v>49</v>
      </c>
      <c r="E149" s="5"/>
      <c r="F149" s="5"/>
    </row>
    <row r="150" spans="2:6" x14ac:dyDescent="0.25">
      <c r="B150" s="23" t="s">
        <v>50</v>
      </c>
      <c r="C150" s="23" t="s">
        <v>51</v>
      </c>
      <c r="D150" s="23" t="s">
        <v>52</v>
      </c>
      <c r="E150" s="23" t="s">
        <v>53</v>
      </c>
      <c r="F150" s="23" t="s">
        <v>54</v>
      </c>
    </row>
    <row r="151" spans="2:17" x14ac:dyDescent="0.25">
      <c r="B151" s="24">
        <v>1</v>
      </c>
      <c r="C151" s="22"/>
      <c r="D151" s="22"/>
      <c r="E151" s="22"/>
      <c r="F151" s="22"/>
      <c r="Q151">
        <f>IF(AND($E151="",COUNTA($C151:$D151,$F151)&gt;0),1,0)</f>
      </c>
    </row>
    <row r="152" spans="2:17" x14ac:dyDescent="0.25">
      <c r="B152" s="24">
        <v>2</v>
      </c>
      <c r="C152" s="22"/>
      <c r="D152" s="22"/>
      <c r="E152" s="22"/>
      <c r="F152" s="22"/>
      <c r="Q152">
        <f>IF(AND($E152="",COUNTA($C152:$D152,$F152)&gt;0),1,0)</f>
      </c>
    </row>
    <row r="153" spans="2:17" x14ac:dyDescent="0.25">
      <c r="B153" s="24">
        <v>3</v>
      </c>
      <c r="C153" s="22"/>
      <c r="D153" s="22"/>
      <c r="E153" s="22"/>
      <c r="F153" s="22"/>
      <c r="Q153">
        <f>IF(AND($E153="",COUNTA($C153:$D153,$F153)&gt;0),1,0)</f>
      </c>
    </row>
    <row r="154" spans="2:17" x14ac:dyDescent="0.25">
      <c r="B154" s="24">
        <v>4</v>
      </c>
      <c r="C154" s="22"/>
      <c r="D154" s="22"/>
      <c r="E154" s="22"/>
      <c r="F154" s="22"/>
      <c r="Q154">
        <f>IF(AND($E154="",COUNTA($C154:$D154,$F154)&gt;0),1,0)</f>
      </c>
    </row>
    <row r="155" spans="2:17" x14ac:dyDescent="0.25">
      <c r="B155" s="24">
        <v>5</v>
      </c>
      <c r="C155" s="22"/>
      <c r="D155" s="22"/>
      <c r="E155" s="22"/>
      <c r="F155" s="22"/>
      <c r="Q155">
        <f>IF(AND($E155="",COUNTA($C155:$D155,$F155)&gt;0),1,0)</f>
      </c>
    </row>
    <row r="156" spans="2:17" x14ac:dyDescent="0.25">
      <c r="B156" s="24">
        <v>6</v>
      </c>
      <c r="C156" s="22"/>
      <c r="D156" s="22"/>
      <c r="E156" s="22"/>
      <c r="F156" s="22"/>
      <c r="Q156">
        <f>IF(AND($E156="",COUNTA($C156:$D156,$F156)&gt;0),1,0)</f>
      </c>
    </row>
    <row r="157" spans="2:17" x14ac:dyDescent="0.25">
      <c r="B157" s="24">
        <v>7</v>
      </c>
      <c r="C157" s="22"/>
      <c r="D157" s="22"/>
      <c r="E157" s="22"/>
      <c r="F157" s="22"/>
      <c r="Q157">
        <f>IF(AND($E157="",COUNTA($C157:$D157,$F157)&gt;0),1,0)</f>
      </c>
    </row>
    <row r="158" spans="2:17" x14ac:dyDescent="0.25">
      <c r="B158" s="24">
        <v>8</v>
      </c>
      <c r="C158" s="22"/>
      <c r="D158" s="22"/>
      <c r="E158" s="22"/>
      <c r="F158" s="22"/>
      <c r="Q158">
        <f>IF(AND($E158="",COUNTA($C158:$D158,$F158)&gt;0),1,0)</f>
      </c>
    </row>
    <row r="160" spans="2:6" x14ac:dyDescent="0.25">
      <c r="B160" s="18" t="s">
        <v>44</v>
      </c>
      <c r="C160" s="19"/>
      <c r="D160" s="19"/>
      <c r="E160" s="5"/>
      <c r="F160" s="5"/>
    </row>
    <row r="161" ht="24" customHeight="1" spans="2:16" x14ac:dyDescent="0.25">
      <c r="B161" s="20" t="s">
        <v>65</v>
      </c>
      <c r="C161" s="21"/>
      <c r="D161" s="21"/>
      <c r="E161" s="21"/>
      <c r="F161" s="21"/>
      <c r="G161" s="4">
        <f>IFERROR(IF(AND($C$161="",$C$162=""),IF(COUNTA($C$160:$F$160,$E$163,$C$165:$F$172)+COUNTA($E$162,$C$163)&gt;0,"⚠ Pick an exercise for this card",""),IF(AND($C$161&lt;&gt;"",$C$162&lt;&gt;""),"⚠ Use the library OR a custom exercise, not both",IF(AND($C$162&lt;&gt;"",$E$162=""),"⚠ Pick a muscle group for the custom exercise",IF(COUNT($E$165:$E$172)=0,"⚠ Enter Goal Reps for at least one set",IF(SUM($Q$165:$Q$172)&gt;0,"⚠ A set is missing Goal Reps",IF(IF($C$163="",1=0,COUNTIF($P$7:$P$214,$C$163)&lt;2),"⚠ Superset "&amp;$C$163&amp;" needs 2+ exercises",IF($C$161&lt;&gt;"",IFERROR("✓ "&amp;INDEX('Exercise Library'!$C$2:$C$319,MATCH($C$161,'Exercise Library'!$B$2:$B$319,0))&amp;IF(INDEX('Exercise Library'!$D$2:$D$319,MATCH($C$161,'Exercise Library'!$B$2:$B$319,0))="Yes"," · demo video","")&amp;" · "&amp;COUNT($E$165:$E$172)&amp;" sets","⚠ Not in the library — use Custom"),"✓ Custom ("&amp;$E$162&amp;") · "&amp;COUNT($E$165:$E$172)&amp;" sets"))))))),"⚠ Check this row")</f>
      </c>
      <c r="P161">
        <f>IF(OR($C$161&lt;&gt;"",$C$162&lt;&gt;""),$C$163,"")</f>
      </c>
    </row>
    <row r="162" spans="2:6" x14ac:dyDescent="0.25">
      <c r="B162" s="18" t="s">
        <v>46</v>
      </c>
      <c r="C162" s="5"/>
      <c r="D162" s="5"/>
      <c r="E162" s="5"/>
      <c r="F162" s="18" t="s">
        <v>47</v>
      </c>
    </row>
    <row r="163" ht="22" customHeight="1" spans="2:6" x14ac:dyDescent="0.25">
      <c r="B163" s="18" t="s">
        <v>48</v>
      </c>
      <c r="C163" s="22"/>
      <c r="D163" s="18" t="s">
        <v>49</v>
      </c>
      <c r="E163" s="5"/>
      <c r="F163" s="5"/>
    </row>
    <row r="164" spans="2:6" x14ac:dyDescent="0.25">
      <c r="B164" s="23" t="s">
        <v>50</v>
      </c>
      <c r="C164" s="23" t="s">
        <v>51</v>
      </c>
      <c r="D164" s="23" t="s">
        <v>52</v>
      </c>
      <c r="E164" s="23" t="s">
        <v>53</v>
      </c>
      <c r="F164" s="23" t="s">
        <v>54</v>
      </c>
    </row>
    <row r="165" spans="2:17" x14ac:dyDescent="0.25">
      <c r="B165" s="24">
        <v>1</v>
      </c>
      <c r="C165" s="22"/>
      <c r="D165" s="22"/>
      <c r="E165" s="22"/>
      <c r="F165" s="22"/>
      <c r="Q165">
        <f>IF(AND($E165="",COUNTA($C165:$D165,$F165)&gt;0),1,0)</f>
      </c>
    </row>
    <row r="166" spans="2:17" x14ac:dyDescent="0.25">
      <c r="B166" s="24">
        <v>2</v>
      </c>
      <c r="C166" s="22"/>
      <c r="D166" s="22"/>
      <c r="E166" s="22"/>
      <c r="F166" s="22"/>
      <c r="Q166">
        <f>IF(AND($E166="",COUNTA($C166:$D166,$F166)&gt;0),1,0)</f>
      </c>
    </row>
    <row r="167" spans="2:17" x14ac:dyDescent="0.25">
      <c r="B167" s="24">
        <v>3</v>
      </c>
      <c r="C167" s="22"/>
      <c r="D167" s="22"/>
      <c r="E167" s="22"/>
      <c r="F167" s="22"/>
      <c r="Q167">
        <f>IF(AND($E167="",COUNTA($C167:$D167,$F167)&gt;0),1,0)</f>
      </c>
    </row>
    <row r="168" spans="2:17" x14ac:dyDescent="0.25">
      <c r="B168" s="24">
        <v>4</v>
      </c>
      <c r="C168" s="22"/>
      <c r="D168" s="22"/>
      <c r="E168" s="22"/>
      <c r="F168" s="22"/>
      <c r="Q168">
        <f>IF(AND($E168="",COUNTA($C168:$D168,$F168)&gt;0),1,0)</f>
      </c>
    </row>
    <row r="169" spans="2:17" x14ac:dyDescent="0.25">
      <c r="B169" s="24">
        <v>5</v>
      </c>
      <c r="C169" s="22"/>
      <c r="D169" s="22"/>
      <c r="E169" s="22"/>
      <c r="F169" s="22"/>
      <c r="Q169">
        <f>IF(AND($E169="",COUNTA($C169:$D169,$F169)&gt;0),1,0)</f>
      </c>
    </row>
    <row r="170" spans="2:17" x14ac:dyDescent="0.25">
      <c r="B170" s="24">
        <v>6</v>
      </c>
      <c r="C170" s="22"/>
      <c r="D170" s="22"/>
      <c r="E170" s="22"/>
      <c r="F170" s="22"/>
      <c r="Q170">
        <f>IF(AND($E170="",COUNTA($C170:$D170,$F170)&gt;0),1,0)</f>
      </c>
    </row>
    <row r="171" spans="2:17" x14ac:dyDescent="0.25">
      <c r="B171" s="24">
        <v>7</v>
      </c>
      <c r="C171" s="22"/>
      <c r="D171" s="22"/>
      <c r="E171" s="22"/>
      <c r="F171" s="22"/>
      <c r="Q171">
        <f>IF(AND($E171="",COUNTA($C171:$D171,$F171)&gt;0),1,0)</f>
      </c>
    </row>
    <row r="172" spans="2:17" x14ac:dyDescent="0.25">
      <c r="B172" s="24">
        <v>8</v>
      </c>
      <c r="C172" s="22"/>
      <c r="D172" s="22"/>
      <c r="E172" s="22"/>
      <c r="F172" s="22"/>
      <c r="Q172">
        <f>IF(AND($E172="",COUNTA($C172:$D172,$F172)&gt;0),1,0)</f>
      </c>
    </row>
    <row r="174" spans="2:6" x14ac:dyDescent="0.25">
      <c r="B174" s="18" t="s">
        <v>44</v>
      </c>
      <c r="C174" s="19"/>
      <c r="D174" s="19"/>
      <c r="E174" s="5"/>
      <c r="F174" s="5"/>
    </row>
    <row r="175" ht="24" customHeight="1" spans="2:16" x14ac:dyDescent="0.25">
      <c r="B175" s="20" t="s">
        <v>66</v>
      </c>
      <c r="C175" s="21"/>
      <c r="D175" s="21"/>
      <c r="E175" s="21"/>
      <c r="F175" s="21"/>
      <c r="G175" s="4">
        <f>IFERROR(IF(AND($C$175="",$C$176=""),IF(COUNTA($C$174:$F$174,$E$177,$C$179:$F$186)+COUNTA($E$176,$C$177)&gt;0,"⚠ Pick an exercise for this card",""),IF(AND($C$175&lt;&gt;"",$C$176&lt;&gt;""),"⚠ Use the library OR a custom exercise, not both",IF(AND($C$176&lt;&gt;"",$E$176=""),"⚠ Pick a muscle group for the custom exercise",IF(COUNT($E$179:$E$186)=0,"⚠ Enter Goal Reps for at least one set",IF(SUM($Q$179:$Q$186)&gt;0,"⚠ A set is missing Goal Reps",IF(IF($C$177="",1=0,COUNTIF($P$7:$P$214,$C$177)&lt;2),"⚠ Superset "&amp;$C$177&amp;" needs 2+ exercises",IF($C$175&lt;&gt;"",IFERROR("✓ "&amp;INDEX('Exercise Library'!$C$2:$C$319,MATCH($C$175,'Exercise Library'!$B$2:$B$319,0))&amp;IF(INDEX('Exercise Library'!$D$2:$D$319,MATCH($C$175,'Exercise Library'!$B$2:$B$319,0))="Yes"," · demo video","")&amp;" · "&amp;COUNT($E$179:$E$186)&amp;" sets","⚠ Not in the library — use Custom"),"✓ Custom ("&amp;$E$176&amp;") · "&amp;COUNT($E$179:$E$186)&amp;" sets"))))))),"⚠ Check this row")</f>
      </c>
      <c r="P175">
        <f>IF(OR($C$175&lt;&gt;"",$C$176&lt;&gt;""),$C$177,"")</f>
      </c>
    </row>
    <row r="176" spans="2:6" x14ac:dyDescent="0.25">
      <c r="B176" s="18" t="s">
        <v>46</v>
      </c>
      <c r="C176" s="5"/>
      <c r="D176" s="5"/>
      <c r="E176" s="5"/>
      <c r="F176" s="18" t="s">
        <v>47</v>
      </c>
    </row>
    <row r="177" ht="22" customHeight="1" spans="2:6" x14ac:dyDescent="0.25">
      <c r="B177" s="18" t="s">
        <v>48</v>
      </c>
      <c r="C177" s="22"/>
      <c r="D177" s="18" t="s">
        <v>49</v>
      </c>
      <c r="E177" s="5"/>
      <c r="F177" s="5"/>
    </row>
    <row r="178" spans="2:6" x14ac:dyDescent="0.25">
      <c r="B178" s="23" t="s">
        <v>50</v>
      </c>
      <c r="C178" s="23" t="s">
        <v>51</v>
      </c>
      <c r="D178" s="23" t="s">
        <v>52</v>
      </c>
      <c r="E178" s="23" t="s">
        <v>53</v>
      </c>
      <c r="F178" s="23" t="s">
        <v>54</v>
      </c>
    </row>
    <row r="179" spans="2:17" x14ac:dyDescent="0.25">
      <c r="B179" s="24">
        <v>1</v>
      </c>
      <c r="C179" s="22"/>
      <c r="D179" s="22"/>
      <c r="E179" s="22"/>
      <c r="F179" s="22"/>
      <c r="Q179">
        <f>IF(AND($E179="",COUNTA($C179:$D179,$F179)&gt;0),1,0)</f>
      </c>
    </row>
    <row r="180" spans="2:17" x14ac:dyDescent="0.25">
      <c r="B180" s="24">
        <v>2</v>
      </c>
      <c r="C180" s="22"/>
      <c r="D180" s="22"/>
      <c r="E180" s="22"/>
      <c r="F180" s="22"/>
      <c r="Q180">
        <f>IF(AND($E180="",COUNTA($C180:$D180,$F180)&gt;0),1,0)</f>
      </c>
    </row>
    <row r="181" spans="2:17" x14ac:dyDescent="0.25">
      <c r="B181" s="24">
        <v>3</v>
      </c>
      <c r="C181" s="22"/>
      <c r="D181" s="22"/>
      <c r="E181" s="22"/>
      <c r="F181" s="22"/>
      <c r="Q181">
        <f>IF(AND($E181="",COUNTA($C181:$D181,$F181)&gt;0),1,0)</f>
      </c>
    </row>
    <row r="182" spans="2:17" x14ac:dyDescent="0.25">
      <c r="B182" s="24">
        <v>4</v>
      </c>
      <c r="C182" s="22"/>
      <c r="D182" s="22"/>
      <c r="E182" s="22"/>
      <c r="F182" s="22"/>
      <c r="Q182">
        <f>IF(AND($E182="",COUNTA($C182:$D182,$F182)&gt;0),1,0)</f>
      </c>
    </row>
    <row r="183" spans="2:17" x14ac:dyDescent="0.25">
      <c r="B183" s="24">
        <v>5</v>
      </c>
      <c r="C183" s="22"/>
      <c r="D183" s="22"/>
      <c r="E183" s="22"/>
      <c r="F183" s="22"/>
      <c r="Q183">
        <f>IF(AND($E183="",COUNTA($C183:$D183,$F183)&gt;0),1,0)</f>
      </c>
    </row>
    <row r="184" spans="2:17" x14ac:dyDescent="0.25">
      <c r="B184" s="24">
        <v>6</v>
      </c>
      <c r="C184" s="22"/>
      <c r="D184" s="22"/>
      <c r="E184" s="22"/>
      <c r="F184" s="22"/>
      <c r="Q184">
        <f>IF(AND($E184="",COUNTA($C184:$D184,$F184)&gt;0),1,0)</f>
      </c>
    </row>
    <row r="185" spans="2:17" x14ac:dyDescent="0.25">
      <c r="B185" s="24">
        <v>7</v>
      </c>
      <c r="C185" s="22"/>
      <c r="D185" s="22"/>
      <c r="E185" s="22"/>
      <c r="F185" s="22"/>
      <c r="Q185">
        <f>IF(AND($E185="",COUNTA($C185:$D185,$F185)&gt;0),1,0)</f>
      </c>
    </row>
    <row r="186" spans="2:17" x14ac:dyDescent="0.25">
      <c r="B186" s="24">
        <v>8</v>
      </c>
      <c r="C186" s="22"/>
      <c r="D186" s="22"/>
      <c r="E186" s="22"/>
      <c r="F186" s="22"/>
      <c r="Q186">
        <f>IF(AND($E186="",COUNTA($C186:$D186,$F186)&gt;0),1,0)</f>
      </c>
    </row>
    <row r="188" spans="2:6" x14ac:dyDescent="0.25">
      <c r="B188" s="18" t="s">
        <v>44</v>
      </c>
      <c r="C188" s="19"/>
      <c r="D188" s="19"/>
      <c r="E188" s="5"/>
      <c r="F188" s="5"/>
    </row>
    <row r="189" ht="24" customHeight="1" spans="2:16" x14ac:dyDescent="0.25">
      <c r="B189" s="20" t="s">
        <v>67</v>
      </c>
      <c r="C189" s="21"/>
      <c r="D189" s="21"/>
      <c r="E189" s="21"/>
      <c r="F189" s="21"/>
      <c r="G189" s="4">
        <f>IFERROR(IF(AND($C$189="",$C$190=""),IF(COUNTA($C$188:$F$188,$E$191,$C$193:$F$200)+COUNTA($E$190,$C$191)&gt;0,"⚠ Pick an exercise for this card",""),IF(AND($C$189&lt;&gt;"",$C$190&lt;&gt;""),"⚠ Use the library OR a custom exercise, not both",IF(AND($C$190&lt;&gt;"",$E$190=""),"⚠ Pick a muscle group for the custom exercise",IF(COUNT($E$193:$E$200)=0,"⚠ Enter Goal Reps for at least one set",IF(SUM($Q$193:$Q$200)&gt;0,"⚠ A set is missing Goal Reps",IF(IF($C$191="",1=0,COUNTIF($P$7:$P$214,$C$191)&lt;2),"⚠ Superset "&amp;$C$191&amp;" needs 2+ exercises",IF($C$189&lt;&gt;"",IFERROR("✓ "&amp;INDEX('Exercise Library'!$C$2:$C$319,MATCH($C$189,'Exercise Library'!$B$2:$B$319,0))&amp;IF(INDEX('Exercise Library'!$D$2:$D$319,MATCH($C$189,'Exercise Library'!$B$2:$B$319,0))="Yes"," · demo video","")&amp;" · "&amp;COUNT($E$193:$E$200)&amp;" sets","⚠ Not in the library — use Custom"),"✓ Custom ("&amp;$E$190&amp;") · "&amp;COUNT($E$193:$E$200)&amp;" sets"))))))),"⚠ Check this row")</f>
      </c>
      <c r="P189">
        <f>IF(OR($C$189&lt;&gt;"",$C$190&lt;&gt;""),$C$191,"")</f>
      </c>
    </row>
    <row r="190" spans="2:6" x14ac:dyDescent="0.25">
      <c r="B190" s="18" t="s">
        <v>46</v>
      </c>
      <c r="C190" s="5"/>
      <c r="D190" s="5"/>
      <c r="E190" s="5"/>
      <c r="F190" s="18" t="s">
        <v>47</v>
      </c>
    </row>
    <row r="191" ht="22" customHeight="1" spans="2:6" x14ac:dyDescent="0.25">
      <c r="B191" s="18" t="s">
        <v>48</v>
      </c>
      <c r="C191" s="22"/>
      <c r="D191" s="18" t="s">
        <v>49</v>
      </c>
      <c r="E191" s="5"/>
      <c r="F191" s="5"/>
    </row>
    <row r="192" spans="2:6" x14ac:dyDescent="0.25">
      <c r="B192" s="23" t="s">
        <v>50</v>
      </c>
      <c r="C192" s="23" t="s">
        <v>51</v>
      </c>
      <c r="D192" s="23" t="s">
        <v>52</v>
      </c>
      <c r="E192" s="23" t="s">
        <v>53</v>
      </c>
      <c r="F192" s="23" t="s">
        <v>54</v>
      </c>
    </row>
    <row r="193" spans="2:17" x14ac:dyDescent="0.25">
      <c r="B193" s="24">
        <v>1</v>
      </c>
      <c r="C193" s="22"/>
      <c r="D193" s="22"/>
      <c r="E193" s="22"/>
      <c r="F193" s="22"/>
      <c r="Q193">
        <f>IF(AND($E193="",COUNTA($C193:$D193,$F193)&gt;0),1,0)</f>
      </c>
    </row>
    <row r="194" spans="2:17" x14ac:dyDescent="0.25">
      <c r="B194" s="24">
        <v>2</v>
      </c>
      <c r="C194" s="22"/>
      <c r="D194" s="22"/>
      <c r="E194" s="22"/>
      <c r="F194" s="22"/>
      <c r="Q194">
        <f>IF(AND($E194="",COUNTA($C194:$D194,$F194)&gt;0),1,0)</f>
      </c>
    </row>
    <row r="195" spans="2:17" x14ac:dyDescent="0.25">
      <c r="B195" s="24">
        <v>3</v>
      </c>
      <c r="C195" s="22"/>
      <c r="D195" s="22"/>
      <c r="E195" s="22"/>
      <c r="F195" s="22"/>
      <c r="Q195">
        <f>IF(AND($E195="",COUNTA($C195:$D195,$F195)&gt;0),1,0)</f>
      </c>
    </row>
    <row r="196" spans="2:17" x14ac:dyDescent="0.25">
      <c r="B196" s="24">
        <v>4</v>
      </c>
      <c r="C196" s="22"/>
      <c r="D196" s="22"/>
      <c r="E196" s="22"/>
      <c r="F196" s="22"/>
      <c r="Q196">
        <f>IF(AND($E196="",COUNTA($C196:$D196,$F196)&gt;0),1,0)</f>
      </c>
    </row>
    <row r="197" spans="2:17" x14ac:dyDescent="0.25">
      <c r="B197" s="24">
        <v>5</v>
      </c>
      <c r="C197" s="22"/>
      <c r="D197" s="22"/>
      <c r="E197" s="22"/>
      <c r="F197" s="22"/>
      <c r="Q197">
        <f>IF(AND($E197="",COUNTA($C197:$D197,$F197)&gt;0),1,0)</f>
      </c>
    </row>
    <row r="198" spans="2:17" x14ac:dyDescent="0.25">
      <c r="B198" s="24">
        <v>6</v>
      </c>
      <c r="C198" s="22"/>
      <c r="D198" s="22"/>
      <c r="E198" s="22"/>
      <c r="F198" s="22"/>
      <c r="Q198">
        <f>IF(AND($E198="",COUNTA($C198:$D198,$F198)&gt;0),1,0)</f>
      </c>
    </row>
    <row r="199" spans="2:17" x14ac:dyDescent="0.25">
      <c r="B199" s="24">
        <v>7</v>
      </c>
      <c r="C199" s="22"/>
      <c r="D199" s="22"/>
      <c r="E199" s="22"/>
      <c r="F199" s="22"/>
      <c r="Q199">
        <f>IF(AND($E199="",COUNTA($C199:$D199,$F199)&gt;0),1,0)</f>
      </c>
    </row>
    <row r="200" spans="2:17" x14ac:dyDescent="0.25">
      <c r="B200" s="24">
        <v>8</v>
      </c>
      <c r="C200" s="22"/>
      <c r="D200" s="22"/>
      <c r="E200" s="22"/>
      <c r="F200" s="22"/>
      <c r="Q200">
        <f>IF(AND($E200="",COUNTA($C200:$D200,$F200)&gt;0),1,0)</f>
      </c>
    </row>
    <row r="202" spans="2:6" x14ac:dyDescent="0.25">
      <c r="B202" s="18" t="s">
        <v>44</v>
      </c>
      <c r="C202" s="19"/>
      <c r="D202" s="19"/>
      <c r="E202" s="5"/>
      <c r="F202" s="5"/>
    </row>
    <row r="203" ht="24" customHeight="1" spans="2:16" x14ac:dyDescent="0.25">
      <c r="B203" s="20" t="s">
        <v>68</v>
      </c>
      <c r="C203" s="21"/>
      <c r="D203" s="21"/>
      <c r="E203" s="21"/>
      <c r="F203" s="21"/>
      <c r="G203" s="4">
        <f>IFERROR(IF(AND($C$203="",$C$204=""),IF(COUNTA($C$202:$F$202,$E$205,$C$207:$F$214)+COUNTA($E$204,$C$205)&gt;0,"⚠ Pick an exercise for this card",""),IF(AND($C$203&lt;&gt;"",$C$204&lt;&gt;""),"⚠ Use the library OR a custom exercise, not both",IF(AND($C$204&lt;&gt;"",$E$204=""),"⚠ Pick a muscle group for the custom exercise",IF(COUNT($E$207:$E$214)=0,"⚠ Enter Goal Reps for at least one set",IF(SUM($Q$207:$Q$214)&gt;0,"⚠ A set is missing Goal Reps",IF(IF($C$205="",1=0,COUNTIF($P$7:$P$214,$C$205)&lt;2),"⚠ Superset "&amp;$C$205&amp;" needs 2+ exercises",IF($C$203&lt;&gt;"",IFERROR("✓ "&amp;INDEX('Exercise Library'!$C$2:$C$319,MATCH($C$203,'Exercise Library'!$B$2:$B$319,0))&amp;IF(INDEX('Exercise Library'!$D$2:$D$319,MATCH($C$203,'Exercise Library'!$B$2:$B$319,0))="Yes"," · demo video","")&amp;" · "&amp;COUNT($E$207:$E$214)&amp;" sets","⚠ Not in the library — use Custom"),"✓ Custom ("&amp;$E$204&amp;") · "&amp;COUNT($E$207:$E$214)&amp;" sets"))))))),"⚠ Check this row")</f>
      </c>
      <c r="P203">
        <f>IF(OR($C$203&lt;&gt;"",$C$204&lt;&gt;""),$C$205,"")</f>
      </c>
    </row>
    <row r="204" spans="2:6" x14ac:dyDescent="0.25">
      <c r="B204" s="18" t="s">
        <v>46</v>
      </c>
      <c r="C204" s="5"/>
      <c r="D204" s="5"/>
      <c r="E204" s="5"/>
      <c r="F204" s="18" t="s">
        <v>47</v>
      </c>
    </row>
    <row r="205" ht="22" customHeight="1" spans="2:6" x14ac:dyDescent="0.25">
      <c r="B205" s="18" t="s">
        <v>48</v>
      </c>
      <c r="C205" s="22"/>
      <c r="D205" s="18" t="s">
        <v>49</v>
      </c>
      <c r="E205" s="5"/>
      <c r="F205" s="5"/>
    </row>
    <row r="206" spans="2:6" x14ac:dyDescent="0.25">
      <c r="B206" s="23" t="s">
        <v>50</v>
      </c>
      <c r="C206" s="23" t="s">
        <v>51</v>
      </c>
      <c r="D206" s="23" t="s">
        <v>52</v>
      </c>
      <c r="E206" s="23" t="s">
        <v>53</v>
      </c>
      <c r="F206" s="23" t="s">
        <v>54</v>
      </c>
    </row>
    <row r="207" spans="2:17" x14ac:dyDescent="0.25">
      <c r="B207" s="24">
        <v>1</v>
      </c>
      <c r="C207" s="22"/>
      <c r="D207" s="22"/>
      <c r="E207" s="22"/>
      <c r="F207" s="22"/>
      <c r="Q207">
        <f>IF(AND($E207="",COUNTA($C207:$D207,$F207)&gt;0),1,0)</f>
      </c>
    </row>
    <row r="208" spans="2:17" x14ac:dyDescent="0.25">
      <c r="B208" s="24">
        <v>2</v>
      </c>
      <c r="C208" s="22"/>
      <c r="D208" s="22"/>
      <c r="E208" s="22"/>
      <c r="F208" s="22"/>
      <c r="Q208">
        <f>IF(AND($E208="",COUNTA($C208:$D208,$F208)&gt;0),1,0)</f>
      </c>
    </row>
    <row r="209" spans="2:17" x14ac:dyDescent="0.25">
      <c r="B209" s="24">
        <v>3</v>
      </c>
      <c r="C209" s="22"/>
      <c r="D209" s="22"/>
      <c r="E209" s="22"/>
      <c r="F209" s="22"/>
      <c r="Q209">
        <f>IF(AND($E209="",COUNTA($C209:$D209,$F209)&gt;0),1,0)</f>
      </c>
    </row>
    <row r="210" spans="2:17" x14ac:dyDescent="0.25">
      <c r="B210" s="24">
        <v>4</v>
      </c>
      <c r="C210" s="22"/>
      <c r="D210" s="22"/>
      <c r="E210" s="22"/>
      <c r="F210" s="22"/>
      <c r="Q210">
        <f>IF(AND($E210="",COUNTA($C210:$D210,$F210)&gt;0),1,0)</f>
      </c>
    </row>
    <row r="211" spans="2:17" x14ac:dyDescent="0.25">
      <c r="B211" s="24">
        <v>5</v>
      </c>
      <c r="C211" s="22"/>
      <c r="D211" s="22"/>
      <c r="E211" s="22"/>
      <c r="F211" s="22"/>
      <c r="Q211">
        <f>IF(AND($E211="",COUNTA($C211:$D211,$F211)&gt;0),1,0)</f>
      </c>
    </row>
    <row r="212" spans="2:17" x14ac:dyDescent="0.25">
      <c r="B212" s="24">
        <v>6</v>
      </c>
      <c r="C212" s="22"/>
      <c r="D212" s="22"/>
      <c r="E212" s="22"/>
      <c r="F212" s="22"/>
      <c r="Q212">
        <f>IF(AND($E212="",COUNTA($C212:$D212,$F212)&gt;0),1,0)</f>
      </c>
    </row>
    <row r="213" spans="2:17" x14ac:dyDescent="0.25">
      <c r="B213" s="24">
        <v>7</v>
      </c>
      <c r="C213" s="22"/>
      <c r="D213" s="22"/>
      <c r="E213" s="22"/>
      <c r="F213" s="22"/>
      <c r="Q213">
        <f>IF(AND($E213="",COUNTA($C213:$D213,$F213)&gt;0),1,0)</f>
      </c>
    </row>
    <row r="214" spans="2:17" x14ac:dyDescent="0.25">
      <c r="B214" s="24">
        <v>8</v>
      </c>
      <c r="C214" s="22"/>
      <c r="D214" s="22"/>
      <c r="E214" s="22"/>
      <c r="F214" s="22"/>
      <c r="Q214">
        <f>IF(AND($E214="",COUNTA($C214:$D214,$F214)&gt;0),1,0)</f>
      </c>
    </row>
  </sheetData>
  <mergeCells count="78">
    <mergeCell ref="A1:G1"/>
    <mergeCell ref="C3:F3"/>
    <mergeCell ref="C4:F4"/>
    <mergeCell ref="C6:D6"/>
    <mergeCell ref="E6:F6"/>
    <mergeCell ref="C7:F7"/>
    <mergeCell ref="C8:D8"/>
    <mergeCell ref="E9:F9"/>
    <mergeCell ref="C20:D20"/>
    <mergeCell ref="E20:F20"/>
    <mergeCell ref="C21:F21"/>
    <mergeCell ref="C22:D22"/>
    <mergeCell ref="E23:F23"/>
    <mergeCell ref="C34:D34"/>
    <mergeCell ref="E34:F34"/>
    <mergeCell ref="C35:F35"/>
    <mergeCell ref="C36:D36"/>
    <mergeCell ref="E37:F37"/>
    <mergeCell ref="C48:D48"/>
    <mergeCell ref="E48:F48"/>
    <mergeCell ref="C49:F49"/>
    <mergeCell ref="C50:D50"/>
    <mergeCell ref="E51:F51"/>
    <mergeCell ref="C62:D62"/>
    <mergeCell ref="E62:F62"/>
    <mergeCell ref="C63:F63"/>
    <mergeCell ref="C64:D64"/>
    <mergeCell ref="E65:F65"/>
    <mergeCell ref="C76:D76"/>
    <mergeCell ref="E76:F76"/>
    <mergeCell ref="C77:F77"/>
    <mergeCell ref="C78:D78"/>
    <mergeCell ref="E79:F79"/>
    <mergeCell ref="C90:D90"/>
    <mergeCell ref="E90:F90"/>
    <mergeCell ref="C91:F91"/>
    <mergeCell ref="C92:D92"/>
    <mergeCell ref="E93:F93"/>
    <mergeCell ref="C104:D104"/>
    <mergeCell ref="E104:F104"/>
    <mergeCell ref="C105:F105"/>
    <mergeCell ref="C106:D106"/>
    <mergeCell ref="E107:F107"/>
    <mergeCell ref="C118:D118"/>
    <mergeCell ref="E118:F118"/>
    <mergeCell ref="C119:F119"/>
    <mergeCell ref="C120:D120"/>
    <mergeCell ref="E121:F121"/>
    <mergeCell ref="C132:D132"/>
    <mergeCell ref="E132:F132"/>
    <mergeCell ref="C133:F133"/>
    <mergeCell ref="C134:D134"/>
    <mergeCell ref="E135:F135"/>
    <mergeCell ref="C146:D146"/>
    <mergeCell ref="E146:F146"/>
    <mergeCell ref="C147:F147"/>
    <mergeCell ref="C148:D148"/>
    <mergeCell ref="E149:F149"/>
    <mergeCell ref="C160:D160"/>
    <mergeCell ref="E160:F160"/>
    <mergeCell ref="C161:F161"/>
    <mergeCell ref="C162:D162"/>
    <mergeCell ref="E163:F163"/>
    <mergeCell ref="C174:D174"/>
    <mergeCell ref="E174:F174"/>
    <mergeCell ref="C175:F175"/>
    <mergeCell ref="C176:D176"/>
    <mergeCell ref="E177:F177"/>
    <mergeCell ref="C188:D188"/>
    <mergeCell ref="E188:F188"/>
    <mergeCell ref="C189:F189"/>
    <mergeCell ref="C190:D190"/>
    <mergeCell ref="E191:F191"/>
    <mergeCell ref="C202:D202"/>
    <mergeCell ref="E202:F202"/>
    <mergeCell ref="C203:F203"/>
    <mergeCell ref="C204:D204"/>
    <mergeCell ref="E205:F205"/>
  </mergeCells>
  <conditionalFormatting sqref="A1:G1">
    <cfRule type="expression" dxfId="69" priority="1">
      <formula>$O$1="FILL"</formula>
    </cfRule>
    <cfRule type="expression" dxfId="70" priority="2">
      <formula>$O$1="SKIP"</formula>
    </cfRule>
    <cfRule type="expression" dxfId="71" priority="3">
      <formula>$O$1=""</formula>
    </cfRule>
  </conditionalFormatting>
  <conditionalFormatting sqref="G3:G214">
    <cfRule type="expression" dxfId="72" priority="1">
      <formula>LEFT(G3,1)="⚠"</formula>
    </cfRule>
    <cfRule type="expression" dxfId="73" priority="2">
      <formula>LEFT(G3,1)="✓"</formula>
    </cfRule>
  </conditionalFormatting>
  <conditionalFormatting sqref="C3:F214">
    <cfRule type="expression" dxfId="74" priority="1">
      <formula>$O$1="SKIP"</formula>
    </cfRule>
  </conditionalFormatting>
  <dataValidations count="121">
    <dataValidation type="list" allowBlank="1" showInputMessage="1" prompt="Pick from the RepLab exercise library (type to search). Library exercises come with demo videos." showErrorMessage="1" errorStyle="stop" errorTitle="Pick from the list" error="Choose one of the options in the dropdown." sqref="C105">
      <formula1>'Exercise Library'!$B$2:$B$319</formula1>
    </dataValidation>
    <dataValidation type="textLength" operator="lessThanOrEqual" allowBlank="1" showErrorMessage="1" error="200 characters or fewer." sqref="C106">
      <formula1>200</formula1>
    </dataValidation>
    <dataValidation type="list" allowBlank="1" showInputMessage="1" prompt="Same letter = same superset" showErrorMessage="1" errorStyle="stop" errorTitle="Pick from the list" error="Choose one of the options in the dropdown." sqref="C107">
      <formula1>Lists!$E$2:$E$11</formula1>
    </dataValidation>
    <dataValidation type="list" allowBlank="1" showErrorMessage="1" errorStyle="stop" errorTitle="Pick from the list" error="Choose one of the options in the dropdown." sqref="C109:C11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19">
      <formula1>'Exercise Library'!$B$2:$B$319</formula1>
    </dataValidation>
    <dataValidation type="list" allowBlank="1" showErrorMessage="1" errorStyle="stop" errorTitle="Pick from the list" error="Choose one of the options in the dropdown." sqref="C11:C18">
      <formula1>Lists!$B$2:$B$9</formula1>
    </dataValidation>
    <dataValidation type="textLength" operator="lessThanOrEqual" allowBlank="1" showErrorMessage="1" error="200 characters or fewer." sqref="C120">
      <formula1>200</formula1>
    </dataValidation>
    <dataValidation type="list" allowBlank="1" showInputMessage="1" prompt="Same letter = same superset" showErrorMessage="1" errorStyle="stop" errorTitle="Pick from the list" error="Choose one of the options in the dropdown." sqref="C121">
      <formula1>Lists!$E$2:$E$11</formula1>
    </dataValidation>
    <dataValidation type="list" allowBlank="1" showErrorMessage="1" errorStyle="stop" errorTitle="Pick from the list" error="Choose one of the options in the dropdown." sqref="C123:C13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33">
      <formula1>'Exercise Library'!$B$2:$B$319</formula1>
    </dataValidation>
    <dataValidation type="textLength" operator="lessThanOrEqual" allowBlank="1" showErrorMessage="1" error="200 characters or fewer." sqref="C134">
      <formula1>200</formula1>
    </dataValidation>
    <dataValidation type="list" allowBlank="1" showInputMessage="1" prompt="Same letter = same superset" showErrorMessage="1" errorStyle="stop" errorTitle="Pick from the list" error="Choose one of the options in the dropdown." sqref="C135">
      <formula1>Lists!$E$2:$E$11</formula1>
    </dataValidation>
    <dataValidation type="list" allowBlank="1" showErrorMessage="1" errorStyle="stop" errorTitle="Pick from the list" error="Choose one of the options in the dropdown." sqref="C137:C14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47">
      <formula1>'Exercise Library'!$B$2:$B$319</formula1>
    </dataValidation>
    <dataValidation type="textLength" operator="lessThanOrEqual" allowBlank="1" showErrorMessage="1" error="200 characters or fewer." sqref="C148">
      <formula1>200</formula1>
    </dataValidation>
    <dataValidation type="list" allowBlank="1" showInputMessage="1" prompt="Same letter = same superset" showErrorMessage="1" errorStyle="stop" errorTitle="Pick from the list" error="Choose one of the options in the dropdown." sqref="C149">
      <formula1>Lists!$E$2:$E$11</formula1>
    </dataValidation>
    <dataValidation type="list" allowBlank="1" showErrorMessage="1" errorStyle="stop" errorTitle="Pick from the list" error="Choose one of the options in the dropdown." sqref="C151:C158">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61">
      <formula1>'Exercise Library'!$B$2:$B$319</formula1>
    </dataValidation>
    <dataValidation type="textLength" operator="lessThanOrEqual" allowBlank="1" showErrorMessage="1" error="200 characters or fewer." sqref="C162">
      <formula1>200</formula1>
    </dataValidation>
    <dataValidation type="list" allowBlank="1" showInputMessage="1" prompt="Same letter = same superset" showErrorMessage="1" errorStyle="stop" errorTitle="Pick from the list" error="Choose one of the options in the dropdown." sqref="C163">
      <formula1>Lists!$E$2:$E$11</formula1>
    </dataValidation>
    <dataValidation type="list" allowBlank="1" showErrorMessage="1" errorStyle="stop" errorTitle="Pick from the list" error="Choose one of the options in the dropdown." sqref="C165:C172">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75">
      <formula1>'Exercise Library'!$B$2:$B$319</formula1>
    </dataValidation>
    <dataValidation type="textLength" operator="lessThanOrEqual" allowBlank="1" showErrorMessage="1" error="200 characters or fewer." sqref="C176">
      <formula1>200</formula1>
    </dataValidation>
    <dataValidation type="list" allowBlank="1" showInputMessage="1" prompt="Same letter = same superset" showErrorMessage="1" errorStyle="stop" errorTitle="Pick from the list" error="Choose one of the options in the dropdown." sqref="C177">
      <formula1>Lists!$E$2:$E$11</formula1>
    </dataValidation>
    <dataValidation type="list" allowBlank="1" showErrorMessage="1" errorStyle="stop" errorTitle="Pick from the list" error="Choose one of the options in the dropdown." sqref="C179:C18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89">
      <formula1>'Exercise Library'!$B$2:$B$319</formula1>
    </dataValidation>
    <dataValidation type="textLength" operator="lessThanOrEqual" allowBlank="1" showErrorMessage="1" error="200 characters or fewer." sqref="C190">
      <formula1>200</formula1>
    </dataValidation>
    <dataValidation type="list" allowBlank="1" showInputMessage="1" prompt="Same letter = same superset" showErrorMessage="1" errorStyle="stop" errorTitle="Pick from the list" error="Choose one of the options in the dropdown." sqref="C191">
      <formula1>Lists!$E$2:$E$11</formula1>
    </dataValidation>
    <dataValidation type="list" allowBlank="1" showErrorMessage="1" errorStyle="stop" errorTitle="Pick from the list" error="Choose one of the options in the dropdown." sqref="C193:C20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03">
      <formula1>'Exercise Library'!$B$2:$B$319</formula1>
    </dataValidation>
    <dataValidation type="textLength" operator="lessThanOrEqual" allowBlank="1" showErrorMessage="1" error="200 characters or fewer." sqref="C204">
      <formula1>200</formula1>
    </dataValidation>
    <dataValidation type="list" allowBlank="1" showInputMessage="1" prompt="Same letter = same superset" showErrorMessage="1" errorStyle="stop" errorTitle="Pick from the list" error="Choose one of the options in the dropdown." sqref="C205">
      <formula1>Lists!$E$2:$E$11</formula1>
    </dataValidation>
    <dataValidation type="list" allowBlank="1" showErrorMessage="1" errorStyle="stop" errorTitle="Pick from the list" error="Choose one of the options in the dropdown." sqref="C207:C21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1">
      <formula1>'Exercise Library'!$B$2:$B$319</formula1>
    </dataValidation>
    <dataValidation type="textLength" operator="lessThanOrEqual" allowBlank="1" showErrorMessage="1" error="200 characters or fewer." sqref="C22">
      <formula1>200</formula1>
    </dataValidation>
    <dataValidation type="list" allowBlank="1" showInputMessage="1" prompt="Same letter = same superset" showErrorMessage="1" errorStyle="stop" errorTitle="Pick from the list" error="Choose one of the options in the dropdown." sqref="C23">
      <formula1>Lists!$E$2:$E$11</formula1>
    </dataValidation>
    <dataValidation type="list" allowBlank="1" showErrorMessage="1" errorStyle="stop" errorTitle="Pick from the list" error="Choose one of the options in the dropdown." sqref="C25:C32">
      <formula1>Lists!$B$2:$B$9</formula1>
    </dataValidation>
    <dataValidation type="textLength" operator="lessThanOrEqual" allowBlank="1" showErrorMessage="1" error="200 characters or fewer." sqref="C3">
      <formula1>200</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35">
      <formula1>'Exercise Library'!$B$2:$B$319</formula1>
    </dataValidation>
    <dataValidation type="textLength" operator="lessThanOrEqual" allowBlank="1" showErrorMessage="1" error="200 characters or fewer." sqref="C36">
      <formula1>200</formula1>
    </dataValidation>
    <dataValidation type="list" allowBlank="1" showInputMessage="1" prompt="Same letter = same superset" showErrorMessage="1" errorStyle="stop" errorTitle="Pick from the list" error="Choose one of the options in the dropdown." sqref="C37">
      <formula1>Lists!$E$2:$E$11</formula1>
    </dataValidation>
    <dataValidation type="list" allowBlank="1" showErrorMessage="1" errorStyle="stop" errorTitle="Pick from the list" error="Choose one of the options in the dropdown." sqref="C39:C4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49">
      <formula1>'Exercise Library'!$B$2:$B$319</formula1>
    </dataValidation>
    <dataValidation type="textLength" operator="lessThanOrEqual" allowBlank="1" showErrorMessage="1" error="200 characters or fewer." sqref="C50">
      <formula1>200</formula1>
    </dataValidation>
    <dataValidation type="list" allowBlank="1" showInputMessage="1" prompt="Same letter = same superset" showErrorMessage="1" errorStyle="stop" errorTitle="Pick from the list" error="Choose one of the options in the dropdown." sqref="C51">
      <formula1>Lists!$E$2:$E$11</formula1>
    </dataValidation>
    <dataValidation type="list" allowBlank="1" showErrorMessage="1" errorStyle="stop" errorTitle="Pick from the list" error="Choose one of the options in the dropdown." sqref="C53:C6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63">
      <formula1>'Exercise Library'!$B$2:$B$319</formula1>
    </dataValidation>
    <dataValidation type="textLength" operator="lessThanOrEqual" allowBlank="1" showErrorMessage="1" error="200 characters or fewer." sqref="C64">
      <formula1>200</formula1>
    </dataValidation>
    <dataValidation type="list" allowBlank="1" showInputMessage="1" prompt="Same letter = same superset" showErrorMessage="1" errorStyle="stop" errorTitle="Pick from the list" error="Choose one of the options in the dropdown." sqref="C65">
      <formula1>Lists!$E$2:$E$11</formula1>
    </dataValidation>
    <dataValidation type="list" allowBlank="1" showErrorMessage="1" errorStyle="stop" errorTitle="Pick from the list" error="Choose one of the options in the dropdown." sqref="C67:C7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
      <formula1>'Exercise Library'!$B$2:$B$319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7">
      <formula1>'Exercise Library'!$B$2:$B$319</formula1>
    </dataValidation>
    <dataValidation type="textLength" operator="lessThanOrEqual" allowBlank="1" showErrorMessage="1" error="200 characters or fewer." sqref="C78">
      <formula1>200</formula1>
    </dataValidation>
    <dataValidation type="list" allowBlank="1" showInputMessage="1" prompt="Same letter = same superset" showErrorMessage="1" errorStyle="stop" errorTitle="Pick from the list" error="Choose one of the options in the dropdown." sqref="C79">
      <formula1>Lists!$E$2:$E$11</formula1>
    </dataValidation>
    <dataValidation type="textLength" operator="lessThanOrEqual" allowBlank="1" showErrorMessage="1" error="200 characters or fewer." sqref="C8">
      <formula1>200</formula1>
    </dataValidation>
    <dataValidation type="list" allowBlank="1" showErrorMessage="1" errorStyle="stop" errorTitle="Pick from the list" error="Choose one of the options in the dropdown." sqref="C81:C88">
      <formula1>Lists!$B$2:$B$9</formula1>
    </dataValidation>
    <dataValidation type="list" allowBlank="1" showInputMessage="1" prompt="Same letter = same superset" showErrorMessage="1" errorStyle="stop" errorTitle="Pick from the list" error="Choose one of the options in the dropdown." sqref="C9">
      <formula1>Lists!$E$2:$E$11</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91">
      <formula1>'Exercise Library'!$B$2:$B$319</formula1>
    </dataValidation>
    <dataValidation type="textLength" operator="lessThanOrEqual" allowBlank="1" showErrorMessage="1" error="200 characters or fewer." sqref="C92">
      <formula1>200</formula1>
    </dataValidation>
    <dataValidation type="list" allowBlank="1" showInputMessage="1" prompt="Same letter = same superset" showErrorMessage="1" errorStyle="stop" errorTitle="Pick from the list" error="Choose one of the options in the dropdown." sqref="C93">
      <formula1>Lists!$E$2:$E$11</formula1>
    </dataValidation>
    <dataValidation type="list" allowBlank="1" showErrorMessage="1" errorStyle="stop" errorTitle="Pick from the list" error="Choose one of the options in the dropdown." sqref="C95:C102">
      <formula1>Lists!$B$2:$B$9</formula1>
    </dataValidation>
    <dataValidation type="decimal" allowBlank="1" showErrorMessage="1" error="Goal weight: a number from 0 to 2000 (lbs)." sqref="D109:D116">
      <formula1>0</formula1>
      <formula2>2000</formula2>
    </dataValidation>
    <dataValidation type="decimal" allowBlank="1" showErrorMessage="1" error="Goal weight: a number from 0 to 2000 (lbs)." sqref="D11:D18">
      <formula1>0</formula1>
      <formula2>2000</formula2>
    </dataValidation>
    <dataValidation type="decimal" allowBlank="1" showErrorMessage="1" error="Goal weight: a number from 0 to 2000 (lbs)." sqref="D123:D130">
      <formula1>0</formula1>
      <formula2>2000</formula2>
    </dataValidation>
    <dataValidation type="decimal" allowBlank="1" showErrorMessage="1" error="Goal weight: a number from 0 to 2000 (lbs)." sqref="D137:D144">
      <formula1>0</formula1>
      <formula2>2000</formula2>
    </dataValidation>
    <dataValidation type="decimal" allowBlank="1" showErrorMessage="1" error="Goal weight: a number from 0 to 2000 (lbs)." sqref="D151:D158">
      <formula1>0</formula1>
      <formula2>2000</formula2>
    </dataValidation>
    <dataValidation type="decimal" allowBlank="1" showErrorMessage="1" error="Goal weight: a number from 0 to 2000 (lbs)." sqref="D165:D172">
      <formula1>0</formula1>
      <formula2>2000</formula2>
    </dataValidation>
    <dataValidation type="decimal" allowBlank="1" showErrorMessage="1" error="Goal weight: a number from 0 to 2000 (lbs)." sqref="D179:D186">
      <formula1>0</formula1>
      <formula2>2000</formula2>
    </dataValidation>
    <dataValidation type="decimal" allowBlank="1" showErrorMessage="1" error="Goal weight: a number from 0 to 2000 (lbs)." sqref="D193:D200">
      <formula1>0</formula1>
      <formula2>2000</formula2>
    </dataValidation>
    <dataValidation type="decimal" allowBlank="1" showErrorMessage="1" error="Goal weight: a number from 0 to 2000 (lbs)." sqref="D207:D214">
      <formula1>0</formula1>
      <formula2>2000</formula2>
    </dataValidation>
    <dataValidation type="decimal" allowBlank="1" showErrorMessage="1" error="Goal weight: a number from 0 to 2000 (lbs)." sqref="D25:D32">
      <formula1>0</formula1>
      <formula2>2000</formula2>
    </dataValidation>
    <dataValidation type="decimal" allowBlank="1" showErrorMessage="1" error="Goal weight: a number from 0 to 2000 (lbs)." sqref="D39:D46">
      <formula1>0</formula1>
      <formula2>2000</formula2>
    </dataValidation>
    <dataValidation type="decimal" allowBlank="1" showErrorMessage="1" error="Goal weight: a number from 0 to 2000 (lbs)." sqref="D53:D60">
      <formula1>0</formula1>
      <formula2>2000</formula2>
    </dataValidation>
    <dataValidation type="decimal" allowBlank="1" showErrorMessage="1" error="Goal weight: a number from 0 to 2000 (lbs)." sqref="D67:D74">
      <formula1>0</formula1>
      <formula2>2000</formula2>
    </dataValidation>
    <dataValidation type="decimal" allowBlank="1" showErrorMessage="1" error="Goal weight: a number from 0 to 2000 (lbs)." sqref="D81:D88">
      <formula1>0</formula1>
      <formula2>2000</formula2>
    </dataValidation>
    <dataValidation type="decimal" allowBlank="1" showErrorMessage="1" error="Goal weight: a number from 0 to 2000 (lbs)." sqref="D95:D102">
      <formula1>0</formula1>
      <formula2>2000</formula2>
    </dataValidation>
    <dataValidation type="list" allowBlank="1" showInputMessage="1" prompt="Muscle group for the custom exercise" showErrorMessage="1" errorStyle="stop" errorTitle="Pick from the list" error="Choose one of the options in the dropdown." sqref="E106">
      <formula1>Lists!$D$2:$D$15</formula1>
    </dataValidation>
    <dataValidation type="whole" allowBlank="1" showErrorMessage="1" error="Goal reps: a whole number from 0 to 100." sqref="E109:E116">
      <formula1>0</formula1>
      <formula2>100</formula2>
    </dataValidation>
    <dataValidation type="whole" allowBlank="1" showErrorMessage="1" error="Goal reps: a whole number from 0 to 100." sqref="E11:E18">
      <formula1>0</formula1>
      <formula2>100</formula2>
    </dataValidation>
    <dataValidation type="list" allowBlank="1" showInputMessage="1" prompt="Muscle group for the custom exercise" showErrorMessage="1" errorStyle="stop" errorTitle="Pick from the list" error="Choose one of the options in the dropdown." sqref="E120">
      <formula1>Lists!$D$2:$D$15</formula1>
    </dataValidation>
    <dataValidation type="whole" allowBlank="1" showErrorMessage="1" error="Goal reps: a whole number from 0 to 100." sqref="E123:E130">
      <formula1>0</formula1>
      <formula2>100</formula2>
    </dataValidation>
    <dataValidation type="list" allowBlank="1" showInputMessage="1" prompt="Muscle group for the custom exercise" showErrorMessage="1" errorStyle="stop" errorTitle="Pick from the list" error="Choose one of the options in the dropdown." sqref="E134">
      <formula1>Lists!$D$2:$D$15</formula1>
    </dataValidation>
    <dataValidation type="whole" allowBlank="1" showErrorMessage="1" error="Goal reps: a whole number from 0 to 100." sqref="E137:E144">
      <formula1>0</formula1>
      <formula2>100</formula2>
    </dataValidation>
    <dataValidation type="list" allowBlank="1" showInputMessage="1" prompt="Muscle group for the custom exercise" showErrorMessage="1" errorStyle="stop" errorTitle="Pick from the list" error="Choose one of the options in the dropdown." sqref="E148">
      <formula1>Lists!$D$2:$D$15</formula1>
    </dataValidation>
    <dataValidation type="whole" allowBlank="1" showErrorMessage="1" error="Goal reps: a whole number from 0 to 100." sqref="E151:E158">
      <formula1>0</formula1>
      <formula2>100</formula2>
    </dataValidation>
    <dataValidation type="list" allowBlank="1" showInputMessage="1" prompt="Muscle group for the custom exercise" showErrorMessage="1" errorStyle="stop" errorTitle="Pick from the list" error="Choose one of the options in the dropdown." sqref="E162">
      <formula1>Lists!$D$2:$D$15</formula1>
    </dataValidation>
    <dataValidation type="whole" allowBlank="1" showErrorMessage="1" error="Goal reps: a whole number from 0 to 100." sqref="E165:E172">
      <formula1>0</formula1>
      <formula2>100</formula2>
    </dataValidation>
    <dataValidation type="list" allowBlank="1" showInputMessage="1" prompt="Muscle group for the custom exercise" showErrorMessage="1" errorStyle="stop" errorTitle="Pick from the list" error="Choose one of the options in the dropdown." sqref="E176">
      <formula1>Lists!$D$2:$D$15</formula1>
    </dataValidation>
    <dataValidation type="whole" allowBlank="1" showErrorMessage="1" error="Goal reps: a whole number from 0 to 100." sqref="E179:E186">
      <formula1>0</formula1>
      <formula2>100</formula2>
    </dataValidation>
    <dataValidation type="list" allowBlank="1" showInputMessage="1" prompt="Muscle group for the custom exercise" showErrorMessage="1" errorStyle="stop" errorTitle="Pick from the list" error="Choose one of the options in the dropdown." sqref="E190">
      <formula1>Lists!$D$2:$D$15</formula1>
    </dataValidation>
    <dataValidation type="whole" allowBlank="1" showErrorMessage="1" error="Goal reps: a whole number from 0 to 100." sqref="E193:E200">
      <formula1>0</formula1>
      <formula2>100</formula2>
    </dataValidation>
    <dataValidation type="list" allowBlank="1" showInputMessage="1" prompt="Muscle group for the custom exercise" showErrorMessage="1" errorStyle="stop" errorTitle="Pick from the list" error="Choose one of the options in the dropdown." sqref="E204">
      <formula1>Lists!$D$2:$D$15</formula1>
    </dataValidation>
    <dataValidation type="whole" allowBlank="1" showErrorMessage="1" error="Goal reps: a whole number from 0 to 100." sqref="E207:E214">
      <formula1>0</formula1>
      <formula2>100</formula2>
    </dataValidation>
    <dataValidation type="list" allowBlank="1" showInputMessage="1" prompt="Muscle group for the custom exercise" showErrorMessage="1" errorStyle="stop" errorTitle="Pick from the list" error="Choose one of the options in the dropdown." sqref="E22">
      <formula1>Lists!$D$2:$D$15</formula1>
    </dataValidation>
    <dataValidation type="whole" allowBlank="1" showErrorMessage="1" error="Goal reps: a whole number from 0 to 100." sqref="E25:E32">
      <formula1>0</formula1>
      <formula2>100</formula2>
    </dataValidation>
    <dataValidation type="list" allowBlank="1" showInputMessage="1" prompt="Muscle group for the custom exercise" showErrorMessage="1" errorStyle="stop" errorTitle="Pick from the list" error="Choose one of the options in the dropdown." sqref="E36">
      <formula1>Lists!$D$2:$D$15</formula1>
    </dataValidation>
    <dataValidation type="whole" allowBlank="1" showErrorMessage="1" error="Goal reps: a whole number from 0 to 100." sqref="E39:E46">
      <formula1>0</formula1>
      <formula2>100</formula2>
    </dataValidation>
    <dataValidation type="list" allowBlank="1" showInputMessage="1" prompt="Muscle group for the custom exercise" showErrorMessage="1" errorStyle="stop" errorTitle="Pick from the list" error="Choose one of the options in the dropdown." sqref="E50">
      <formula1>Lists!$D$2:$D$15</formula1>
    </dataValidation>
    <dataValidation type="whole" allowBlank="1" showErrorMessage="1" error="Goal reps: a whole number from 0 to 100." sqref="E53:E60">
      <formula1>0</formula1>
      <formula2>100</formula2>
    </dataValidation>
    <dataValidation type="list" allowBlank="1" showInputMessage="1" prompt="Muscle group for the custom exercise" showErrorMessage="1" errorStyle="stop" errorTitle="Pick from the list" error="Choose one of the options in the dropdown." sqref="E64">
      <formula1>Lists!$D$2:$D$15</formula1>
    </dataValidation>
    <dataValidation type="whole" allowBlank="1" showErrorMessage="1" error="Goal reps: a whole number from 0 to 100." sqref="E67:E74">
      <formula1>0</formula1>
      <formula2>100</formula2>
    </dataValidation>
    <dataValidation type="list" allowBlank="1" showInputMessage="1" prompt="Muscle group for the custom exercise" showErrorMessage="1" errorStyle="stop" errorTitle="Pick from the list" error="Choose one of the options in the dropdown." sqref="E78">
      <formula1>Lists!$D$2:$D$15</formula1>
    </dataValidation>
    <dataValidation type="list" allowBlank="1" showInputMessage="1" prompt="Muscle group for the custom exercise" showErrorMessage="1" errorStyle="stop" errorTitle="Pick from the list" error="Choose one of the options in the dropdown." sqref="E8">
      <formula1>Lists!$D$2:$D$15</formula1>
    </dataValidation>
    <dataValidation type="whole" allowBlank="1" showErrorMessage="1" error="Goal reps: a whole number from 0 to 100." sqref="E81:E88">
      <formula1>0</formula1>
      <formula2>100</formula2>
    </dataValidation>
    <dataValidation type="list" allowBlank="1" showInputMessage="1" prompt="Muscle group for the custom exercise" showErrorMessage="1" errorStyle="stop" errorTitle="Pick from the list" error="Choose one of the options in the dropdown." sqref="E92">
      <formula1>Lists!$D$2:$D$15</formula1>
    </dataValidation>
    <dataValidation type="whole" allowBlank="1" showErrorMessage="1" error="Goal reps: a whole number from 0 to 100." sqref="E95:E102">
      <formula1>0</formula1>
      <formula2>100</formula2>
    </dataValidation>
    <dataValidation type="textLength" operator="lessThanOrEqual" allowBlank="1" showErrorMessage="1" error="Keep the rep range short, e.g. 8-12." sqref="F109:F116">
      <formula1>20</formula1>
    </dataValidation>
    <dataValidation type="textLength" operator="lessThanOrEqual" allowBlank="1" showErrorMessage="1" error="Keep the rep range short, e.g. 8-12." sqref="F11:F18">
      <formula1>20</formula1>
    </dataValidation>
    <dataValidation type="textLength" operator="lessThanOrEqual" allowBlank="1" showErrorMessage="1" error="Keep the rep range short, e.g. 8-12." sqref="F123:F130">
      <formula1>20</formula1>
    </dataValidation>
    <dataValidation type="textLength" operator="lessThanOrEqual" allowBlank="1" showErrorMessage="1" error="Keep the rep range short, e.g. 8-12." sqref="F137:F144">
      <formula1>20</formula1>
    </dataValidation>
    <dataValidation type="textLength" operator="lessThanOrEqual" allowBlank="1" showErrorMessage="1" error="Keep the rep range short, e.g. 8-12." sqref="F151:F158">
      <formula1>20</formula1>
    </dataValidation>
    <dataValidation type="textLength" operator="lessThanOrEqual" allowBlank="1" showErrorMessage="1" error="Keep the rep range short, e.g. 8-12." sqref="F165:F172">
      <formula1>20</formula1>
    </dataValidation>
    <dataValidation type="textLength" operator="lessThanOrEqual" allowBlank="1" showErrorMessage="1" error="Keep the rep range short, e.g. 8-12." sqref="F179:F186">
      <formula1>20</formula1>
    </dataValidation>
    <dataValidation type="textLength" operator="lessThanOrEqual" allowBlank="1" showErrorMessage="1" error="Keep the rep range short, e.g. 8-12." sqref="F193:F200">
      <formula1>20</formula1>
    </dataValidation>
    <dataValidation type="textLength" operator="lessThanOrEqual" allowBlank="1" showErrorMessage="1" error="Keep the rep range short, e.g. 8-12." sqref="F207:F214">
      <formula1>20</formula1>
    </dataValidation>
    <dataValidation type="textLength" operator="lessThanOrEqual" allowBlank="1" showErrorMessage="1" error="Keep the rep range short, e.g. 8-12." sqref="F25:F32">
      <formula1>20</formula1>
    </dataValidation>
    <dataValidation type="textLength" operator="lessThanOrEqual" allowBlank="1" showErrorMessage="1" error="Keep the rep range short, e.g. 8-12." sqref="F39:F46">
      <formula1>20</formula1>
    </dataValidation>
    <dataValidation type="textLength" operator="lessThanOrEqual" allowBlank="1" showErrorMessage="1" error="Keep the rep range short, e.g. 8-12." sqref="F53:F60">
      <formula1>20</formula1>
    </dataValidation>
    <dataValidation type="textLength" operator="lessThanOrEqual" allowBlank="1" showErrorMessage="1" error="Keep the rep range short, e.g. 8-12." sqref="F67:F74">
      <formula1>20</formula1>
    </dataValidation>
    <dataValidation type="textLength" operator="lessThanOrEqual" allowBlank="1" showErrorMessage="1" error="Keep the rep range short, e.g. 8-12." sqref="F81:F88">
      <formula1>20</formula1>
    </dataValidation>
    <dataValidation type="textLength" operator="lessThanOrEqual" allowBlank="1" showErrorMessage="1" error="Keep the rep range short, e.g. 8-12." sqref="F95:F102">
      <formula1>20</formula1>
    </dataValidation>
  </dataValidations>
  <pageMargins left="0.7" right="0.7" top="0.75" bottom="0.75" header="0.3" footer="0.3"/>
  <pageSetup orientation="portrait" horizontalDpi="4294967295" verticalDpi="4294967295" scale="100" fitToWidth="1" fitToHeight="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A6EA5"/>
  </sheetPr>
  <dimension ref="A1:Q214"/>
  <sheetViews>
    <sheetView workbookViewId="0" showGridLines="0">
      <pane ySplit="4" topLeftCell="A5" activePane="bottomLeft" state="frozen"/>
      <selection pane="bottomLeft"/>
    </sheetView>
  </sheetViews>
  <sheetFormatPr defaultRowHeight="15" outlineLevelRow="0" outlineLevelCol="0" x14ac:dyDescent="55"/>
  <cols>
    <col min="1" max="1" width="2" customWidth="1"/>
    <col min="2" max="2" width="13" customWidth="1"/>
    <col min="3" max="3" width="18" customWidth="1"/>
    <col min="4" max="6" width="14" customWidth="1"/>
    <col min="7" max="7" width="40" customWidth="1"/>
    <col min="14" max="14" width="9" hidden="1" customWidth="1"/>
    <col min="15" max="15" width="9" hidden="1" customWidth="1"/>
    <col min="16" max="16" width="9" hidden="1" customWidth="1"/>
    <col min="17" max="17" width="9" hidden="1" customWidth="1"/>
  </cols>
  <sheetData>
    <row r="1" ht="30" customHeight="1" spans="1:15" x14ac:dyDescent="0.25">
      <c r="A1" s="14">
        <f>IF($O$1="FILL","✅  FILL OUT THIS SHEET — Workout 12",IF($O$1="SKIP","⛔  NOT NEEDED — leave this sheet blank","Start on the Start sheet: answer question 1 first"))</f>
      </c>
      <c r="B1" s="14"/>
      <c r="C1" s="14"/>
      <c r="D1" s="14"/>
      <c r="E1" s="14"/>
      <c r="F1" s="14"/>
      <c r="G1" s="14"/>
      <c r="O1">
        <f>IF(Start!$C$4="Single Workout","SKIP",IF(Start!$C$4="Program",IF(12&lt;=N(Start!$C$9),"FILL","SKIP"),""))</f>
      </c>
    </row>
    <row r="2" spans="15:15" x14ac:dyDescent="0.25">
      <c r="O2">
        <f>IF($O$1="FILL",COUNTIF($G$3:$G$214,"⚠*"),0)</f>
      </c>
    </row>
    <row r="3" ht="26" customHeight="1" spans="2:7" x14ac:dyDescent="0.25">
      <c r="B3" s="15" t="s">
        <v>42</v>
      </c>
      <c r="C3" s="16"/>
      <c r="D3" s="16"/>
      <c r="E3" s="16"/>
      <c r="F3" s="16"/>
      <c r="G3" s="17">
        <f>IFERROR(IF($O$1&lt;&gt;"FILL","",IF($C$3="","⚠ Name this workout",IF($C$3="REST","⚠ REST is reserved for rest days — pick another name",IF(COUNTIF(Lists!$A$3:$A$14,$C$3)&gt;1,"⚠ Another workout has this name",IF(COUNTA($C$7,$C$8,$C$21,$C$22,$C$35,$C$36,$C$49,$C$50,$C$63,$C$64,$C$77,$C$78,$C$91,$C$92,$C$105,$C$106,$C$119,$C$120,$C$133,$C$134,$C$147,$C$148,$C$161,$C$162,$C$175,$C$176,$C$189,$C$190,$C$203,$C$204)=0,"⚠ Add at least one exercise","✓ Looks good"))))),"⚠ Check this row")</f>
      </c>
    </row>
    <row r="4" ht="30" customHeight="1" spans="2:6" x14ac:dyDescent="0.25">
      <c r="B4" s="15" t="s">
        <v>43</v>
      </c>
      <c r="C4" s="5"/>
      <c r="D4" s="5"/>
      <c r="E4" s="5"/>
      <c r="F4" s="5"/>
    </row>
    <row r="6" spans="2:6" x14ac:dyDescent="0.25">
      <c r="B6" s="18" t="s">
        <v>44</v>
      </c>
      <c r="C6" s="19"/>
      <c r="D6" s="19"/>
      <c r="E6" s="5"/>
      <c r="F6" s="5"/>
    </row>
    <row r="7" ht="24" customHeight="1" spans="2:16" x14ac:dyDescent="0.25">
      <c r="B7" s="20" t="s">
        <v>45</v>
      </c>
      <c r="C7" s="21"/>
      <c r="D7" s="21"/>
      <c r="E7" s="21"/>
      <c r="F7" s="21"/>
      <c r="G7" s="4">
        <f>IFERROR(IF(AND($C$7="",$C$8=""),IF(COUNTA($C$6:$F$6,$E$9,$C$11:$F$18)+COUNTA($E$8,$C$9)&gt;0,"⚠ Pick an exercise for this card",""),IF(AND($C$7&lt;&gt;"",$C$8&lt;&gt;""),"⚠ Use the library OR a custom exercise, not both",IF(AND($C$8&lt;&gt;"",$E$8=""),"⚠ Pick a muscle group for the custom exercise",IF(COUNT($E$11:$E$18)=0,"⚠ Enter Goal Reps for at least one set",IF(SUM($Q$11:$Q$18)&gt;0,"⚠ A set is missing Goal Reps",IF(IF($C$9="",1=0,COUNTIF($P$7:$P$214,$C$9)&lt;2),"⚠ Superset "&amp;$C$9&amp;" needs 2+ exercises",IF($C$7&lt;&gt;"",IFERROR("✓ "&amp;INDEX('Exercise Library'!$C$2:$C$319,MATCH($C$7,'Exercise Library'!$B$2:$B$319,0))&amp;IF(INDEX('Exercise Library'!$D$2:$D$319,MATCH($C$7,'Exercise Library'!$B$2:$B$319,0))="Yes"," · demo video","")&amp;" · "&amp;COUNT($E$11:$E$18)&amp;" sets","⚠ Not in the library — use Custom"),"✓ Custom ("&amp;$E$8&amp;") · "&amp;COUNT($E$11:$E$18)&amp;" sets"))))))),"⚠ Check this row")</f>
      </c>
      <c r="P7">
        <f>IF(OR($C$7&lt;&gt;"",$C$8&lt;&gt;""),$C$9,"")</f>
      </c>
    </row>
    <row r="8" spans="2:6" x14ac:dyDescent="0.25">
      <c r="B8" s="18" t="s">
        <v>46</v>
      </c>
      <c r="C8" s="5"/>
      <c r="D8" s="5"/>
      <c r="E8" s="5"/>
      <c r="F8" s="18" t="s">
        <v>47</v>
      </c>
    </row>
    <row r="9" ht="22" customHeight="1" spans="2:6" x14ac:dyDescent="0.25">
      <c r="B9" s="18" t="s">
        <v>48</v>
      </c>
      <c r="C9" s="22"/>
      <c r="D9" s="18" t="s">
        <v>49</v>
      </c>
      <c r="E9" s="5"/>
      <c r="F9" s="5"/>
    </row>
    <row r="10" spans="2:6" x14ac:dyDescent="0.25">
      <c r="B10" s="23" t="s">
        <v>50</v>
      </c>
      <c r="C10" s="23" t="s">
        <v>51</v>
      </c>
      <c r="D10" s="23" t="s">
        <v>52</v>
      </c>
      <c r="E10" s="23" t="s">
        <v>53</v>
      </c>
      <c r="F10" s="23" t="s">
        <v>54</v>
      </c>
    </row>
    <row r="11" spans="2:17" x14ac:dyDescent="0.25">
      <c r="B11" s="24">
        <v>1</v>
      </c>
      <c r="C11" s="22"/>
      <c r="D11" s="22"/>
      <c r="E11" s="22"/>
      <c r="F11" s="22"/>
      <c r="Q11">
        <f>IF(AND($E11="",COUNTA($C11:$D11,$F11)&gt;0),1,0)</f>
      </c>
    </row>
    <row r="12" spans="2:17" x14ac:dyDescent="0.25">
      <c r="B12" s="24">
        <v>2</v>
      </c>
      <c r="C12" s="22"/>
      <c r="D12" s="22"/>
      <c r="E12" s="22"/>
      <c r="F12" s="22"/>
      <c r="Q12">
        <f>IF(AND($E12="",COUNTA($C12:$D12,$F12)&gt;0),1,0)</f>
      </c>
    </row>
    <row r="13" spans="2:17" x14ac:dyDescent="0.25">
      <c r="B13" s="24">
        <v>3</v>
      </c>
      <c r="C13" s="22"/>
      <c r="D13" s="22"/>
      <c r="E13" s="22"/>
      <c r="F13" s="22"/>
      <c r="Q13">
        <f>IF(AND($E13="",COUNTA($C13:$D13,$F13)&gt;0),1,0)</f>
      </c>
    </row>
    <row r="14" spans="2:17" x14ac:dyDescent="0.25">
      <c r="B14" s="24">
        <v>4</v>
      </c>
      <c r="C14" s="22"/>
      <c r="D14" s="22"/>
      <c r="E14" s="22"/>
      <c r="F14" s="22"/>
      <c r="Q14">
        <f>IF(AND($E14="",COUNTA($C14:$D14,$F14)&gt;0),1,0)</f>
      </c>
    </row>
    <row r="15" spans="2:17" x14ac:dyDescent="0.25">
      <c r="B15" s="24">
        <v>5</v>
      </c>
      <c r="C15" s="22"/>
      <c r="D15" s="22"/>
      <c r="E15" s="22"/>
      <c r="F15" s="22"/>
      <c r="Q15">
        <f>IF(AND($E15="",COUNTA($C15:$D15,$F15)&gt;0),1,0)</f>
      </c>
    </row>
    <row r="16" spans="2:17" x14ac:dyDescent="0.25">
      <c r="B16" s="24">
        <v>6</v>
      </c>
      <c r="C16" s="22"/>
      <c r="D16" s="22"/>
      <c r="E16" s="22"/>
      <c r="F16" s="22"/>
      <c r="Q16">
        <f>IF(AND($E16="",COUNTA($C16:$D16,$F16)&gt;0),1,0)</f>
      </c>
    </row>
    <row r="17" spans="2:17" x14ac:dyDescent="0.25">
      <c r="B17" s="24">
        <v>7</v>
      </c>
      <c r="C17" s="22"/>
      <c r="D17" s="22"/>
      <c r="E17" s="22"/>
      <c r="F17" s="22"/>
      <c r="Q17">
        <f>IF(AND($E17="",COUNTA($C17:$D17,$F17)&gt;0),1,0)</f>
      </c>
    </row>
    <row r="18" spans="2:17" x14ac:dyDescent="0.25">
      <c r="B18" s="24">
        <v>8</v>
      </c>
      <c r="C18" s="22"/>
      <c r="D18" s="22"/>
      <c r="E18" s="22"/>
      <c r="F18" s="22"/>
      <c r="Q18">
        <f>IF(AND($E18="",COUNTA($C18:$D18,$F18)&gt;0),1,0)</f>
      </c>
    </row>
    <row r="20" spans="2:6" x14ac:dyDescent="0.25">
      <c r="B20" s="18" t="s">
        <v>44</v>
      </c>
      <c r="C20" s="19"/>
      <c r="D20" s="19"/>
      <c r="E20" s="5"/>
      <c r="F20" s="5"/>
    </row>
    <row r="21" ht="24" customHeight="1" spans="2:16" x14ac:dyDescent="0.25">
      <c r="B21" s="20" t="s">
        <v>55</v>
      </c>
      <c r="C21" s="21"/>
      <c r="D21" s="21"/>
      <c r="E21" s="21"/>
      <c r="F21" s="21"/>
      <c r="G21" s="4">
        <f>IFERROR(IF(AND($C$21="",$C$22=""),IF(COUNTA($C$20:$F$20,$E$23,$C$25:$F$32)+COUNTA($E$22,$C$23)&gt;0,"⚠ Pick an exercise for this card",""),IF(AND($C$21&lt;&gt;"",$C$22&lt;&gt;""),"⚠ Use the library OR a custom exercise, not both",IF(AND($C$22&lt;&gt;"",$E$22=""),"⚠ Pick a muscle group for the custom exercise",IF(COUNT($E$25:$E$32)=0,"⚠ Enter Goal Reps for at least one set",IF(SUM($Q$25:$Q$32)&gt;0,"⚠ A set is missing Goal Reps",IF(IF($C$23="",1=0,COUNTIF($P$7:$P$214,$C$23)&lt;2),"⚠ Superset "&amp;$C$23&amp;" needs 2+ exercises",IF($C$21&lt;&gt;"",IFERROR("✓ "&amp;INDEX('Exercise Library'!$C$2:$C$319,MATCH($C$21,'Exercise Library'!$B$2:$B$319,0))&amp;IF(INDEX('Exercise Library'!$D$2:$D$319,MATCH($C$21,'Exercise Library'!$B$2:$B$319,0))="Yes"," · demo video","")&amp;" · "&amp;COUNT($E$25:$E$32)&amp;" sets","⚠ Not in the library — use Custom"),"✓ Custom ("&amp;$E$22&amp;") · "&amp;COUNT($E$25:$E$32)&amp;" sets"))))))),"⚠ Check this row")</f>
      </c>
      <c r="P21">
        <f>IF(OR($C$21&lt;&gt;"",$C$22&lt;&gt;""),$C$23,"")</f>
      </c>
    </row>
    <row r="22" spans="2:6" x14ac:dyDescent="0.25">
      <c r="B22" s="18" t="s">
        <v>46</v>
      </c>
      <c r="C22" s="5"/>
      <c r="D22" s="5"/>
      <c r="E22" s="5"/>
      <c r="F22" s="18" t="s">
        <v>47</v>
      </c>
    </row>
    <row r="23" ht="22" customHeight="1" spans="2:6" x14ac:dyDescent="0.25">
      <c r="B23" s="18" t="s">
        <v>48</v>
      </c>
      <c r="C23" s="22"/>
      <c r="D23" s="18" t="s">
        <v>49</v>
      </c>
      <c r="E23" s="5"/>
      <c r="F23" s="5"/>
    </row>
    <row r="24" spans="2:6" x14ac:dyDescent="0.25">
      <c r="B24" s="23" t="s">
        <v>50</v>
      </c>
      <c r="C24" s="23" t="s">
        <v>51</v>
      </c>
      <c r="D24" s="23" t="s">
        <v>52</v>
      </c>
      <c r="E24" s="23" t="s">
        <v>53</v>
      </c>
      <c r="F24" s="23" t="s">
        <v>54</v>
      </c>
    </row>
    <row r="25" spans="2:17" x14ac:dyDescent="0.25">
      <c r="B25" s="24">
        <v>1</v>
      </c>
      <c r="C25" s="22"/>
      <c r="D25" s="22"/>
      <c r="E25" s="22"/>
      <c r="F25" s="22"/>
      <c r="Q25">
        <f>IF(AND($E25="",COUNTA($C25:$D25,$F25)&gt;0),1,0)</f>
      </c>
    </row>
    <row r="26" spans="2:17" x14ac:dyDescent="0.25">
      <c r="B26" s="24">
        <v>2</v>
      </c>
      <c r="C26" s="22"/>
      <c r="D26" s="22"/>
      <c r="E26" s="22"/>
      <c r="F26" s="22"/>
      <c r="Q26">
        <f>IF(AND($E26="",COUNTA($C26:$D26,$F26)&gt;0),1,0)</f>
      </c>
    </row>
    <row r="27" spans="2:17" x14ac:dyDescent="0.25">
      <c r="B27" s="24">
        <v>3</v>
      </c>
      <c r="C27" s="22"/>
      <c r="D27" s="22"/>
      <c r="E27" s="22"/>
      <c r="F27" s="22"/>
      <c r="Q27">
        <f>IF(AND($E27="",COUNTA($C27:$D27,$F27)&gt;0),1,0)</f>
      </c>
    </row>
    <row r="28" spans="2:17" x14ac:dyDescent="0.25">
      <c r="B28" s="24">
        <v>4</v>
      </c>
      <c r="C28" s="22"/>
      <c r="D28" s="22"/>
      <c r="E28" s="22"/>
      <c r="F28" s="22"/>
      <c r="Q28">
        <f>IF(AND($E28="",COUNTA($C28:$D28,$F28)&gt;0),1,0)</f>
      </c>
    </row>
    <row r="29" spans="2:17" x14ac:dyDescent="0.25">
      <c r="B29" s="24">
        <v>5</v>
      </c>
      <c r="C29" s="22"/>
      <c r="D29" s="22"/>
      <c r="E29" s="22"/>
      <c r="F29" s="22"/>
      <c r="Q29">
        <f>IF(AND($E29="",COUNTA($C29:$D29,$F29)&gt;0),1,0)</f>
      </c>
    </row>
    <row r="30" spans="2:17" x14ac:dyDescent="0.25">
      <c r="B30" s="24">
        <v>6</v>
      </c>
      <c r="C30" s="22"/>
      <c r="D30" s="22"/>
      <c r="E30" s="22"/>
      <c r="F30" s="22"/>
      <c r="Q30">
        <f>IF(AND($E30="",COUNTA($C30:$D30,$F30)&gt;0),1,0)</f>
      </c>
    </row>
    <row r="31" spans="2:17" x14ac:dyDescent="0.25">
      <c r="B31" s="24">
        <v>7</v>
      </c>
      <c r="C31" s="22"/>
      <c r="D31" s="22"/>
      <c r="E31" s="22"/>
      <c r="F31" s="22"/>
      <c r="Q31">
        <f>IF(AND($E31="",COUNTA($C31:$D31,$F31)&gt;0),1,0)</f>
      </c>
    </row>
    <row r="32" spans="2:17" x14ac:dyDescent="0.25">
      <c r="B32" s="24">
        <v>8</v>
      </c>
      <c r="C32" s="22"/>
      <c r="D32" s="22"/>
      <c r="E32" s="22"/>
      <c r="F32" s="22"/>
      <c r="Q32">
        <f>IF(AND($E32="",COUNTA($C32:$D32,$F32)&gt;0),1,0)</f>
      </c>
    </row>
    <row r="34" spans="2:6" x14ac:dyDescent="0.25">
      <c r="B34" s="18" t="s">
        <v>44</v>
      </c>
      <c r="C34" s="19"/>
      <c r="D34" s="19"/>
      <c r="E34" s="5"/>
      <c r="F34" s="5"/>
    </row>
    <row r="35" ht="24" customHeight="1" spans="2:16" x14ac:dyDescent="0.25">
      <c r="B35" s="20" t="s">
        <v>56</v>
      </c>
      <c r="C35" s="21"/>
      <c r="D35" s="21"/>
      <c r="E35" s="21"/>
      <c r="F35" s="21"/>
      <c r="G35" s="4">
        <f>IFERROR(IF(AND($C$35="",$C$36=""),IF(COUNTA($C$34:$F$34,$E$37,$C$39:$F$46)+COUNTA($E$36,$C$37)&gt;0,"⚠ Pick an exercise for this card",""),IF(AND($C$35&lt;&gt;"",$C$36&lt;&gt;""),"⚠ Use the library OR a custom exercise, not both",IF(AND($C$36&lt;&gt;"",$E$36=""),"⚠ Pick a muscle group for the custom exercise",IF(COUNT($E$39:$E$46)=0,"⚠ Enter Goal Reps for at least one set",IF(SUM($Q$39:$Q$46)&gt;0,"⚠ A set is missing Goal Reps",IF(IF($C$37="",1=0,COUNTIF($P$7:$P$214,$C$37)&lt;2),"⚠ Superset "&amp;$C$37&amp;" needs 2+ exercises",IF($C$35&lt;&gt;"",IFERROR("✓ "&amp;INDEX('Exercise Library'!$C$2:$C$319,MATCH($C$35,'Exercise Library'!$B$2:$B$319,0))&amp;IF(INDEX('Exercise Library'!$D$2:$D$319,MATCH($C$35,'Exercise Library'!$B$2:$B$319,0))="Yes"," · demo video","")&amp;" · "&amp;COUNT($E$39:$E$46)&amp;" sets","⚠ Not in the library — use Custom"),"✓ Custom ("&amp;$E$36&amp;") · "&amp;COUNT($E$39:$E$46)&amp;" sets"))))))),"⚠ Check this row")</f>
      </c>
      <c r="P35">
        <f>IF(OR($C$35&lt;&gt;"",$C$36&lt;&gt;""),$C$37,"")</f>
      </c>
    </row>
    <row r="36" spans="2:6" x14ac:dyDescent="0.25">
      <c r="B36" s="18" t="s">
        <v>46</v>
      </c>
      <c r="C36" s="5"/>
      <c r="D36" s="5"/>
      <c r="E36" s="5"/>
      <c r="F36" s="18" t="s">
        <v>47</v>
      </c>
    </row>
    <row r="37" ht="22" customHeight="1" spans="2:6" x14ac:dyDescent="0.25">
      <c r="B37" s="18" t="s">
        <v>48</v>
      </c>
      <c r="C37" s="22"/>
      <c r="D37" s="18" t="s">
        <v>49</v>
      </c>
      <c r="E37" s="5"/>
      <c r="F37" s="5"/>
    </row>
    <row r="38" spans="2:6" x14ac:dyDescent="0.25">
      <c r="B38" s="23" t="s">
        <v>50</v>
      </c>
      <c r="C38" s="23" t="s">
        <v>51</v>
      </c>
      <c r="D38" s="23" t="s">
        <v>52</v>
      </c>
      <c r="E38" s="23" t="s">
        <v>53</v>
      </c>
      <c r="F38" s="23" t="s">
        <v>54</v>
      </c>
    </row>
    <row r="39" spans="2:17" x14ac:dyDescent="0.25">
      <c r="B39" s="24">
        <v>1</v>
      </c>
      <c r="C39" s="22"/>
      <c r="D39" s="22"/>
      <c r="E39" s="22"/>
      <c r="F39" s="22"/>
      <c r="Q39">
        <f>IF(AND($E39="",COUNTA($C39:$D39,$F39)&gt;0),1,0)</f>
      </c>
    </row>
    <row r="40" spans="2:17" x14ac:dyDescent="0.25">
      <c r="B40" s="24">
        <v>2</v>
      </c>
      <c r="C40" s="22"/>
      <c r="D40" s="22"/>
      <c r="E40" s="22"/>
      <c r="F40" s="22"/>
      <c r="Q40">
        <f>IF(AND($E40="",COUNTA($C40:$D40,$F40)&gt;0),1,0)</f>
      </c>
    </row>
    <row r="41" spans="2:17" x14ac:dyDescent="0.25">
      <c r="B41" s="24">
        <v>3</v>
      </c>
      <c r="C41" s="22"/>
      <c r="D41" s="22"/>
      <c r="E41" s="22"/>
      <c r="F41" s="22"/>
      <c r="Q41">
        <f>IF(AND($E41="",COUNTA($C41:$D41,$F41)&gt;0),1,0)</f>
      </c>
    </row>
    <row r="42" spans="2:17" x14ac:dyDescent="0.25">
      <c r="B42" s="24">
        <v>4</v>
      </c>
      <c r="C42" s="22"/>
      <c r="D42" s="22"/>
      <c r="E42" s="22"/>
      <c r="F42" s="22"/>
      <c r="Q42">
        <f>IF(AND($E42="",COUNTA($C42:$D42,$F42)&gt;0),1,0)</f>
      </c>
    </row>
    <row r="43" spans="2:17" x14ac:dyDescent="0.25">
      <c r="B43" s="24">
        <v>5</v>
      </c>
      <c r="C43" s="22"/>
      <c r="D43" s="22"/>
      <c r="E43" s="22"/>
      <c r="F43" s="22"/>
      <c r="Q43">
        <f>IF(AND($E43="",COUNTA($C43:$D43,$F43)&gt;0),1,0)</f>
      </c>
    </row>
    <row r="44" spans="2:17" x14ac:dyDescent="0.25">
      <c r="B44" s="24">
        <v>6</v>
      </c>
      <c r="C44" s="22"/>
      <c r="D44" s="22"/>
      <c r="E44" s="22"/>
      <c r="F44" s="22"/>
      <c r="Q44">
        <f>IF(AND($E44="",COUNTA($C44:$D44,$F44)&gt;0),1,0)</f>
      </c>
    </row>
    <row r="45" spans="2:17" x14ac:dyDescent="0.25">
      <c r="B45" s="24">
        <v>7</v>
      </c>
      <c r="C45" s="22"/>
      <c r="D45" s="22"/>
      <c r="E45" s="22"/>
      <c r="F45" s="22"/>
      <c r="Q45">
        <f>IF(AND($E45="",COUNTA($C45:$D45,$F45)&gt;0),1,0)</f>
      </c>
    </row>
    <row r="46" spans="2:17" x14ac:dyDescent="0.25">
      <c r="B46" s="24">
        <v>8</v>
      </c>
      <c r="C46" s="22"/>
      <c r="D46" s="22"/>
      <c r="E46" s="22"/>
      <c r="F46" s="22"/>
      <c r="Q46">
        <f>IF(AND($E46="",COUNTA($C46:$D46,$F46)&gt;0),1,0)</f>
      </c>
    </row>
    <row r="48" spans="2:6" x14ac:dyDescent="0.25">
      <c r="B48" s="18" t="s">
        <v>44</v>
      </c>
      <c r="C48" s="19"/>
      <c r="D48" s="19"/>
      <c r="E48" s="5"/>
      <c r="F48" s="5"/>
    </row>
    <row r="49" ht="24" customHeight="1" spans="2:16" x14ac:dyDescent="0.25">
      <c r="B49" s="20" t="s">
        <v>57</v>
      </c>
      <c r="C49" s="21"/>
      <c r="D49" s="21"/>
      <c r="E49" s="21"/>
      <c r="F49" s="21"/>
      <c r="G49" s="4">
        <f>IFERROR(IF(AND($C$49="",$C$50=""),IF(COUNTA($C$48:$F$48,$E$51,$C$53:$F$60)+COUNTA($E$50,$C$51)&gt;0,"⚠ Pick an exercise for this card",""),IF(AND($C$49&lt;&gt;"",$C$50&lt;&gt;""),"⚠ Use the library OR a custom exercise, not both",IF(AND($C$50&lt;&gt;"",$E$50=""),"⚠ Pick a muscle group for the custom exercise",IF(COUNT($E$53:$E$60)=0,"⚠ Enter Goal Reps for at least one set",IF(SUM($Q$53:$Q$60)&gt;0,"⚠ A set is missing Goal Reps",IF(IF($C$51="",1=0,COUNTIF($P$7:$P$214,$C$51)&lt;2),"⚠ Superset "&amp;$C$51&amp;" needs 2+ exercises",IF($C$49&lt;&gt;"",IFERROR("✓ "&amp;INDEX('Exercise Library'!$C$2:$C$319,MATCH($C$49,'Exercise Library'!$B$2:$B$319,0))&amp;IF(INDEX('Exercise Library'!$D$2:$D$319,MATCH($C$49,'Exercise Library'!$B$2:$B$319,0))="Yes"," · demo video","")&amp;" · "&amp;COUNT($E$53:$E$60)&amp;" sets","⚠ Not in the library — use Custom"),"✓ Custom ("&amp;$E$50&amp;") · "&amp;COUNT($E$53:$E$60)&amp;" sets"))))))),"⚠ Check this row")</f>
      </c>
      <c r="P49">
        <f>IF(OR($C$49&lt;&gt;"",$C$50&lt;&gt;""),$C$51,"")</f>
      </c>
    </row>
    <row r="50" spans="2:6" x14ac:dyDescent="0.25">
      <c r="B50" s="18" t="s">
        <v>46</v>
      </c>
      <c r="C50" s="5"/>
      <c r="D50" s="5"/>
      <c r="E50" s="5"/>
      <c r="F50" s="18" t="s">
        <v>47</v>
      </c>
    </row>
    <row r="51" ht="22" customHeight="1" spans="2:6" x14ac:dyDescent="0.25">
      <c r="B51" s="18" t="s">
        <v>48</v>
      </c>
      <c r="C51" s="22"/>
      <c r="D51" s="18" t="s">
        <v>49</v>
      </c>
      <c r="E51" s="5"/>
      <c r="F51" s="5"/>
    </row>
    <row r="52" spans="2:6" x14ac:dyDescent="0.25">
      <c r="B52" s="23" t="s">
        <v>50</v>
      </c>
      <c r="C52" s="23" t="s">
        <v>51</v>
      </c>
      <c r="D52" s="23" t="s">
        <v>52</v>
      </c>
      <c r="E52" s="23" t="s">
        <v>53</v>
      </c>
      <c r="F52" s="23" t="s">
        <v>54</v>
      </c>
    </row>
    <row r="53" spans="2:17" x14ac:dyDescent="0.25">
      <c r="B53" s="24">
        <v>1</v>
      </c>
      <c r="C53" s="22"/>
      <c r="D53" s="22"/>
      <c r="E53" s="22"/>
      <c r="F53" s="22"/>
      <c r="Q53">
        <f>IF(AND($E53="",COUNTA($C53:$D53,$F53)&gt;0),1,0)</f>
      </c>
    </row>
    <row r="54" spans="2:17" x14ac:dyDescent="0.25">
      <c r="B54" s="24">
        <v>2</v>
      </c>
      <c r="C54" s="22"/>
      <c r="D54" s="22"/>
      <c r="E54" s="22"/>
      <c r="F54" s="22"/>
      <c r="Q54">
        <f>IF(AND($E54="",COUNTA($C54:$D54,$F54)&gt;0),1,0)</f>
      </c>
    </row>
    <row r="55" spans="2:17" x14ac:dyDescent="0.25">
      <c r="B55" s="24">
        <v>3</v>
      </c>
      <c r="C55" s="22"/>
      <c r="D55" s="22"/>
      <c r="E55" s="22"/>
      <c r="F55" s="22"/>
      <c r="Q55">
        <f>IF(AND($E55="",COUNTA($C55:$D55,$F55)&gt;0),1,0)</f>
      </c>
    </row>
    <row r="56" spans="2:17" x14ac:dyDescent="0.25">
      <c r="B56" s="24">
        <v>4</v>
      </c>
      <c r="C56" s="22"/>
      <c r="D56" s="22"/>
      <c r="E56" s="22"/>
      <c r="F56" s="22"/>
      <c r="Q56">
        <f>IF(AND($E56="",COUNTA($C56:$D56,$F56)&gt;0),1,0)</f>
      </c>
    </row>
    <row r="57" spans="2:17" x14ac:dyDescent="0.25">
      <c r="B57" s="24">
        <v>5</v>
      </c>
      <c r="C57" s="22"/>
      <c r="D57" s="22"/>
      <c r="E57" s="22"/>
      <c r="F57" s="22"/>
      <c r="Q57">
        <f>IF(AND($E57="",COUNTA($C57:$D57,$F57)&gt;0),1,0)</f>
      </c>
    </row>
    <row r="58" spans="2:17" x14ac:dyDescent="0.25">
      <c r="B58" s="24">
        <v>6</v>
      </c>
      <c r="C58" s="22"/>
      <c r="D58" s="22"/>
      <c r="E58" s="22"/>
      <c r="F58" s="22"/>
      <c r="Q58">
        <f>IF(AND($E58="",COUNTA($C58:$D58,$F58)&gt;0),1,0)</f>
      </c>
    </row>
    <row r="59" spans="2:17" x14ac:dyDescent="0.25">
      <c r="B59" s="24">
        <v>7</v>
      </c>
      <c r="C59" s="22"/>
      <c r="D59" s="22"/>
      <c r="E59" s="22"/>
      <c r="F59" s="22"/>
      <c r="Q59">
        <f>IF(AND($E59="",COUNTA($C59:$D59,$F59)&gt;0),1,0)</f>
      </c>
    </row>
    <row r="60" spans="2:17" x14ac:dyDescent="0.25">
      <c r="B60" s="24">
        <v>8</v>
      </c>
      <c r="C60" s="22"/>
      <c r="D60" s="22"/>
      <c r="E60" s="22"/>
      <c r="F60" s="22"/>
      <c r="Q60">
        <f>IF(AND($E60="",COUNTA($C60:$D60,$F60)&gt;0),1,0)</f>
      </c>
    </row>
    <row r="62" spans="2:6" x14ac:dyDescent="0.25">
      <c r="B62" s="18" t="s">
        <v>44</v>
      </c>
      <c r="C62" s="19"/>
      <c r="D62" s="19"/>
      <c r="E62" s="5"/>
      <c r="F62" s="5"/>
    </row>
    <row r="63" ht="24" customHeight="1" spans="2:16" x14ac:dyDescent="0.25">
      <c r="B63" s="20" t="s">
        <v>58</v>
      </c>
      <c r="C63" s="21"/>
      <c r="D63" s="21"/>
      <c r="E63" s="21"/>
      <c r="F63" s="21"/>
      <c r="G63" s="4">
        <f>IFERROR(IF(AND($C$63="",$C$64=""),IF(COUNTA($C$62:$F$62,$E$65,$C$67:$F$74)+COUNTA($E$64,$C$65)&gt;0,"⚠ Pick an exercise for this card",""),IF(AND($C$63&lt;&gt;"",$C$64&lt;&gt;""),"⚠ Use the library OR a custom exercise, not both",IF(AND($C$64&lt;&gt;"",$E$64=""),"⚠ Pick a muscle group for the custom exercise",IF(COUNT($E$67:$E$74)=0,"⚠ Enter Goal Reps for at least one set",IF(SUM($Q$67:$Q$74)&gt;0,"⚠ A set is missing Goal Reps",IF(IF($C$65="",1=0,COUNTIF($P$7:$P$214,$C$65)&lt;2),"⚠ Superset "&amp;$C$65&amp;" needs 2+ exercises",IF($C$63&lt;&gt;"",IFERROR("✓ "&amp;INDEX('Exercise Library'!$C$2:$C$319,MATCH($C$63,'Exercise Library'!$B$2:$B$319,0))&amp;IF(INDEX('Exercise Library'!$D$2:$D$319,MATCH($C$63,'Exercise Library'!$B$2:$B$319,0))="Yes"," · demo video","")&amp;" · "&amp;COUNT($E$67:$E$74)&amp;" sets","⚠ Not in the library — use Custom"),"✓ Custom ("&amp;$E$64&amp;") · "&amp;COUNT($E$67:$E$74)&amp;" sets"))))))),"⚠ Check this row")</f>
      </c>
      <c r="P63">
        <f>IF(OR($C$63&lt;&gt;"",$C$64&lt;&gt;""),$C$65,"")</f>
      </c>
    </row>
    <row r="64" spans="2:6" x14ac:dyDescent="0.25">
      <c r="B64" s="18" t="s">
        <v>46</v>
      </c>
      <c r="C64" s="5"/>
      <c r="D64" s="5"/>
      <c r="E64" s="5"/>
      <c r="F64" s="18" t="s">
        <v>47</v>
      </c>
    </row>
    <row r="65" ht="22" customHeight="1" spans="2:6" x14ac:dyDescent="0.25">
      <c r="B65" s="18" t="s">
        <v>48</v>
      </c>
      <c r="C65" s="22"/>
      <c r="D65" s="18" t="s">
        <v>49</v>
      </c>
      <c r="E65" s="5"/>
      <c r="F65" s="5"/>
    </row>
    <row r="66" spans="2:6" x14ac:dyDescent="0.25">
      <c r="B66" s="23" t="s">
        <v>50</v>
      </c>
      <c r="C66" s="23" t="s">
        <v>51</v>
      </c>
      <c r="D66" s="23" t="s">
        <v>52</v>
      </c>
      <c r="E66" s="23" t="s">
        <v>53</v>
      </c>
      <c r="F66" s="23" t="s">
        <v>54</v>
      </c>
    </row>
    <row r="67" spans="2:17" x14ac:dyDescent="0.25">
      <c r="B67" s="24">
        <v>1</v>
      </c>
      <c r="C67" s="22"/>
      <c r="D67" s="22"/>
      <c r="E67" s="22"/>
      <c r="F67" s="22"/>
      <c r="Q67">
        <f>IF(AND($E67="",COUNTA($C67:$D67,$F67)&gt;0),1,0)</f>
      </c>
    </row>
    <row r="68" spans="2:17" x14ac:dyDescent="0.25">
      <c r="B68" s="24">
        <v>2</v>
      </c>
      <c r="C68" s="22"/>
      <c r="D68" s="22"/>
      <c r="E68" s="22"/>
      <c r="F68" s="22"/>
      <c r="Q68">
        <f>IF(AND($E68="",COUNTA($C68:$D68,$F68)&gt;0),1,0)</f>
      </c>
    </row>
    <row r="69" spans="2:17" x14ac:dyDescent="0.25">
      <c r="B69" s="24">
        <v>3</v>
      </c>
      <c r="C69" s="22"/>
      <c r="D69" s="22"/>
      <c r="E69" s="22"/>
      <c r="F69" s="22"/>
      <c r="Q69">
        <f>IF(AND($E69="",COUNTA($C69:$D69,$F69)&gt;0),1,0)</f>
      </c>
    </row>
    <row r="70" spans="2:17" x14ac:dyDescent="0.25">
      <c r="B70" s="24">
        <v>4</v>
      </c>
      <c r="C70" s="22"/>
      <c r="D70" s="22"/>
      <c r="E70" s="22"/>
      <c r="F70" s="22"/>
      <c r="Q70">
        <f>IF(AND($E70="",COUNTA($C70:$D70,$F70)&gt;0),1,0)</f>
      </c>
    </row>
    <row r="71" spans="2:17" x14ac:dyDescent="0.25">
      <c r="B71" s="24">
        <v>5</v>
      </c>
      <c r="C71" s="22"/>
      <c r="D71" s="22"/>
      <c r="E71" s="22"/>
      <c r="F71" s="22"/>
      <c r="Q71">
        <f>IF(AND($E71="",COUNTA($C71:$D71,$F71)&gt;0),1,0)</f>
      </c>
    </row>
    <row r="72" spans="2:17" x14ac:dyDescent="0.25">
      <c r="B72" s="24">
        <v>6</v>
      </c>
      <c r="C72" s="22"/>
      <c r="D72" s="22"/>
      <c r="E72" s="22"/>
      <c r="F72" s="22"/>
      <c r="Q72">
        <f>IF(AND($E72="",COUNTA($C72:$D72,$F72)&gt;0),1,0)</f>
      </c>
    </row>
    <row r="73" spans="2:17" x14ac:dyDescent="0.25">
      <c r="B73" s="24">
        <v>7</v>
      </c>
      <c r="C73" s="22"/>
      <c r="D73" s="22"/>
      <c r="E73" s="22"/>
      <c r="F73" s="22"/>
      <c r="Q73">
        <f>IF(AND($E73="",COUNTA($C73:$D73,$F73)&gt;0),1,0)</f>
      </c>
    </row>
    <row r="74" spans="2:17" x14ac:dyDescent="0.25">
      <c r="B74" s="24">
        <v>8</v>
      </c>
      <c r="C74" s="22"/>
      <c r="D74" s="22"/>
      <c r="E74" s="22"/>
      <c r="F74" s="22"/>
      <c r="Q74">
        <f>IF(AND($E74="",COUNTA($C74:$D74,$F74)&gt;0),1,0)</f>
      </c>
    </row>
    <row r="76" spans="2:6" x14ac:dyDescent="0.25">
      <c r="B76" s="18" t="s">
        <v>44</v>
      </c>
      <c r="C76" s="19"/>
      <c r="D76" s="19"/>
      <c r="E76" s="5"/>
      <c r="F76" s="5"/>
    </row>
    <row r="77" ht="24" customHeight="1" spans="2:16" x14ac:dyDescent="0.25">
      <c r="B77" s="20" t="s">
        <v>59</v>
      </c>
      <c r="C77" s="21"/>
      <c r="D77" s="21"/>
      <c r="E77" s="21"/>
      <c r="F77" s="21"/>
      <c r="G77" s="4">
        <f>IFERROR(IF(AND($C$77="",$C$78=""),IF(COUNTA($C$76:$F$76,$E$79,$C$81:$F$88)+COUNTA($E$78,$C$79)&gt;0,"⚠ Pick an exercise for this card",""),IF(AND($C$77&lt;&gt;"",$C$78&lt;&gt;""),"⚠ Use the library OR a custom exercise, not both",IF(AND($C$78&lt;&gt;"",$E$78=""),"⚠ Pick a muscle group for the custom exercise",IF(COUNT($E$81:$E$88)=0,"⚠ Enter Goal Reps for at least one set",IF(SUM($Q$81:$Q$88)&gt;0,"⚠ A set is missing Goal Reps",IF(IF($C$79="",1=0,COUNTIF($P$7:$P$214,$C$79)&lt;2),"⚠ Superset "&amp;$C$79&amp;" needs 2+ exercises",IF($C$77&lt;&gt;"",IFERROR("✓ "&amp;INDEX('Exercise Library'!$C$2:$C$319,MATCH($C$77,'Exercise Library'!$B$2:$B$319,0))&amp;IF(INDEX('Exercise Library'!$D$2:$D$319,MATCH($C$77,'Exercise Library'!$B$2:$B$319,0))="Yes"," · demo video","")&amp;" · "&amp;COUNT($E$81:$E$88)&amp;" sets","⚠ Not in the library — use Custom"),"✓ Custom ("&amp;$E$78&amp;") · "&amp;COUNT($E$81:$E$88)&amp;" sets"))))))),"⚠ Check this row")</f>
      </c>
      <c r="P77">
        <f>IF(OR($C$77&lt;&gt;"",$C$78&lt;&gt;""),$C$79,"")</f>
      </c>
    </row>
    <row r="78" spans="2:6" x14ac:dyDescent="0.25">
      <c r="B78" s="18" t="s">
        <v>46</v>
      </c>
      <c r="C78" s="5"/>
      <c r="D78" s="5"/>
      <c r="E78" s="5"/>
      <c r="F78" s="18" t="s">
        <v>47</v>
      </c>
    </row>
    <row r="79" ht="22" customHeight="1" spans="2:6" x14ac:dyDescent="0.25">
      <c r="B79" s="18" t="s">
        <v>48</v>
      </c>
      <c r="C79" s="22"/>
      <c r="D79" s="18" t="s">
        <v>49</v>
      </c>
      <c r="E79" s="5"/>
      <c r="F79" s="5"/>
    </row>
    <row r="80" spans="2:6" x14ac:dyDescent="0.25">
      <c r="B80" s="23" t="s">
        <v>50</v>
      </c>
      <c r="C80" s="23" t="s">
        <v>51</v>
      </c>
      <c r="D80" s="23" t="s">
        <v>52</v>
      </c>
      <c r="E80" s="23" t="s">
        <v>53</v>
      </c>
      <c r="F80" s="23" t="s">
        <v>54</v>
      </c>
    </row>
    <row r="81" spans="2:17" x14ac:dyDescent="0.25">
      <c r="B81" s="24">
        <v>1</v>
      </c>
      <c r="C81" s="22"/>
      <c r="D81" s="22"/>
      <c r="E81" s="22"/>
      <c r="F81" s="22"/>
      <c r="Q81">
        <f>IF(AND($E81="",COUNTA($C81:$D81,$F81)&gt;0),1,0)</f>
      </c>
    </row>
    <row r="82" spans="2:17" x14ac:dyDescent="0.25">
      <c r="B82" s="24">
        <v>2</v>
      </c>
      <c r="C82" s="22"/>
      <c r="D82" s="22"/>
      <c r="E82" s="22"/>
      <c r="F82" s="22"/>
      <c r="Q82">
        <f>IF(AND($E82="",COUNTA($C82:$D82,$F82)&gt;0),1,0)</f>
      </c>
    </row>
    <row r="83" spans="2:17" x14ac:dyDescent="0.25">
      <c r="B83" s="24">
        <v>3</v>
      </c>
      <c r="C83" s="22"/>
      <c r="D83" s="22"/>
      <c r="E83" s="22"/>
      <c r="F83" s="22"/>
      <c r="Q83">
        <f>IF(AND($E83="",COUNTA($C83:$D83,$F83)&gt;0),1,0)</f>
      </c>
    </row>
    <row r="84" spans="2:17" x14ac:dyDescent="0.25">
      <c r="B84" s="24">
        <v>4</v>
      </c>
      <c r="C84" s="22"/>
      <c r="D84" s="22"/>
      <c r="E84" s="22"/>
      <c r="F84" s="22"/>
      <c r="Q84">
        <f>IF(AND($E84="",COUNTA($C84:$D84,$F84)&gt;0),1,0)</f>
      </c>
    </row>
    <row r="85" spans="2:17" x14ac:dyDescent="0.25">
      <c r="B85" s="24">
        <v>5</v>
      </c>
      <c r="C85" s="22"/>
      <c r="D85" s="22"/>
      <c r="E85" s="22"/>
      <c r="F85" s="22"/>
      <c r="Q85">
        <f>IF(AND($E85="",COUNTA($C85:$D85,$F85)&gt;0),1,0)</f>
      </c>
    </row>
    <row r="86" spans="2:17" x14ac:dyDescent="0.25">
      <c r="B86" s="24">
        <v>6</v>
      </c>
      <c r="C86" s="22"/>
      <c r="D86" s="22"/>
      <c r="E86" s="22"/>
      <c r="F86" s="22"/>
      <c r="Q86">
        <f>IF(AND($E86="",COUNTA($C86:$D86,$F86)&gt;0),1,0)</f>
      </c>
    </row>
    <row r="87" spans="2:17" x14ac:dyDescent="0.25">
      <c r="B87" s="24">
        <v>7</v>
      </c>
      <c r="C87" s="22"/>
      <c r="D87" s="22"/>
      <c r="E87" s="22"/>
      <c r="F87" s="22"/>
      <c r="Q87">
        <f>IF(AND($E87="",COUNTA($C87:$D87,$F87)&gt;0),1,0)</f>
      </c>
    </row>
    <row r="88" spans="2:17" x14ac:dyDescent="0.25">
      <c r="B88" s="24">
        <v>8</v>
      </c>
      <c r="C88" s="22"/>
      <c r="D88" s="22"/>
      <c r="E88" s="22"/>
      <c r="F88" s="22"/>
      <c r="Q88">
        <f>IF(AND($E88="",COUNTA($C88:$D88,$F88)&gt;0),1,0)</f>
      </c>
    </row>
    <row r="90" spans="2:6" x14ac:dyDescent="0.25">
      <c r="B90" s="18" t="s">
        <v>44</v>
      </c>
      <c r="C90" s="19"/>
      <c r="D90" s="19"/>
      <c r="E90" s="5"/>
      <c r="F90" s="5"/>
    </row>
    <row r="91" ht="24" customHeight="1" spans="2:16" x14ac:dyDescent="0.25">
      <c r="B91" s="20" t="s">
        <v>60</v>
      </c>
      <c r="C91" s="21"/>
      <c r="D91" s="21"/>
      <c r="E91" s="21"/>
      <c r="F91" s="21"/>
      <c r="G91" s="4">
        <f>IFERROR(IF(AND($C$91="",$C$92=""),IF(COUNTA($C$90:$F$90,$E$93,$C$95:$F$102)+COUNTA($E$92,$C$93)&gt;0,"⚠ Pick an exercise for this card",""),IF(AND($C$91&lt;&gt;"",$C$92&lt;&gt;""),"⚠ Use the library OR a custom exercise, not both",IF(AND($C$92&lt;&gt;"",$E$92=""),"⚠ Pick a muscle group for the custom exercise",IF(COUNT($E$95:$E$102)=0,"⚠ Enter Goal Reps for at least one set",IF(SUM($Q$95:$Q$102)&gt;0,"⚠ A set is missing Goal Reps",IF(IF($C$93="",1=0,COUNTIF($P$7:$P$214,$C$93)&lt;2),"⚠ Superset "&amp;$C$93&amp;" needs 2+ exercises",IF($C$91&lt;&gt;"",IFERROR("✓ "&amp;INDEX('Exercise Library'!$C$2:$C$319,MATCH($C$91,'Exercise Library'!$B$2:$B$319,0))&amp;IF(INDEX('Exercise Library'!$D$2:$D$319,MATCH($C$91,'Exercise Library'!$B$2:$B$319,0))="Yes"," · demo video","")&amp;" · "&amp;COUNT($E$95:$E$102)&amp;" sets","⚠ Not in the library — use Custom"),"✓ Custom ("&amp;$E$92&amp;") · "&amp;COUNT($E$95:$E$102)&amp;" sets"))))))),"⚠ Check this row")</f>
      </c>
      <c r="P91">
        <f>IF(OR($C$91&lt;&gt;"",$C$92&lt;&gt;""),$C$93,"")</f>
      </c>
    </row>
    <row r="92" spans="2:6" x14ac:dyDescent="0.25">
      <c r="B92" s="18" t="s">
        <v>46</v>
      </c>
      <c r="C92" s="5"/>
      <c r="D92" s="5"/>
      <c r="E92" s="5"/>
      <c r="F92" s="18" t="s">
        <v>47</v>
      </c>
    </row>
    <row r="93" ht="22" customHeight="1" spans="2:6" x14ac:dyDescent="0.25">
      <c r="B93" s="18" t="s">
        <v>48</v>
      </c>
      <c r="C93" s="22"/>
      <c r="D93" s="18" t="s">
        <v>49</v>
      </c>
      <c r="E93" s="5"/>
      <c r="F93" s="5"/>
    </row>
    <row r="94" spans="2:6" x14ac:dyDescent="0.25">
      <c r="B94" s="23" t="s">
        <v>50</v>
      </c>
      <c r="C94" s="23" t="s">
        <v>51</v>
      </c>
      <c r="D94" s="23" t="s">
        <v>52</v>
      </c>
      <c r="E94" s="23" t="s">
        <v>53</v>
      </c>
      <c r="F94" s="23" t="s">
        <v>54</v>
      </c>
    </row>
    <row r="95" spans="2:17" x14ac:dyDescent="0.25">
      <c r="B95" s="24">
        <v>1</v>
      </c>
      <c r="C95" s="22"/>
      <c r="D95" s="22"/>
      <c r="E95" s="22"/>
      <c r="F95" s="22"/>
      <c r="Q95">
        <f>IF(AND($E95="",COUNTA($C95:$D95,$F95)&gt;0),1,0)</f>
      </c>
    </row>
    <row r="96" spans="2:17" x14ac:dyDescent="0.25">
      <c r="B96" s="24">
        <v>2</v>
      </c>
      <c r="C96" s="22"/>
      <c r="D96" s="22"/>
      <c r="E96" s="22"/>
      <c r="F96" s="22"/>
      <c r="Q96">
        <f>IF(AND($E96="",COUNTA($C96:$D96,$F96)&gt;0),1,0)</f>
      </c>
    </row>
    <row r="97" spans="2:17" x14ac:dyDescent="0.25">
      <c r="B97" s="24">
        <v>3</v>
      </c>
      <c r="C97" s="22"/>
      <c r="D97" s="22"/>
      <c r="E97" s="22"/>
      <c r="F97" s="22"/>
      <c r="Q97">
        <f>IF(AND($E97="",COUNTA($C97:$D97,$F97)&gt;0),1,0)</f>
      </c>
    </row>
    <row r="98" spans="2:17" x14ac:dyDescent="0.25">
      <c r="B98" s="24">
        <v>4</v>
      </c>
      <c r="C98" s="22"/>
      <c r="D98" s="22"/>
      <c r="E98" s="22"/>
      <c r="F98" s="22"/>
      <c r="Q98">
        <f>IF(AND($E98="",COUNTA($C98:$D98,$F98)&gt;0),1,0)</f>
      </c>
    </row>
    <row r="99" spans="2:17" x14ac:dyDescent="0.25">
      <c r="B99" s="24">
        <v>5</v>
      </c>
      <c r="C99" s="22"/>
      <c r="D99" s="22"/>
      <c r="E99" s="22"/>
      <c r="F99" s="22"/>
      <c r="Q99">
        <f>IF(AND($E99="",COUNTA($C99:$D99,$F99)&gt;0),1,0)</f>
      </c>
    </row>
    <row r="100" spans="2:17" x14ac:dyDescent="0.25">
      <c r="B100" s="24">
        <v>6</v>
      </c>
      <c r="C100" s="22"/>
      <c r="D100" s="22"/>
      <c r="E100" s="22"/>
      <c r="F100" s="22"/>
      <c r="Q100">
        <f>IF(AND($E100="",COUNTA($C100:$D100,$F100)&gt;0),1,0)</f>
      </c>
    </row>
    <row r="101" spans="2:17" x14ac:dyDescent="0.25">
      <c r="B101" s="24">
        <v>7</v>
      </c>
      <c r="C101" s="22"/>
      <c r="D101" s="22"/>
      <c r="E101" s="22"/>
      <c r="F101" s="22"/>
      <c r="Q101">
        <f>IF(AND($E101="",COUNTA($C101:$D101,$F101)&gt;0),1,0)</f>
      </c>
    </row>
    <row r="102" spans="2:17" x14ac:dyDescent="0.25">
      <c r="B102" s="24">
        <v>8</v>
      </c>
      <c r="C102" s="22"/>
      <c r="D102" s="22"/>
      <c r="E102" s="22"/>
      <c r="F102" s="22"/>
      <c r="Q102">
        <f>IF(AND($E102="",COUNTA($C102:$D102,$F102)&gt;0),1,0)</f>
      </c>
    </row>
    <row r="104" spans="2:6" x14ac:dyDescent="0.25">
      <c r="B104" s="18" t="s">
        <v>44</v>
      </c>
      <c r="C104" s="19"/>
      <c r="D104" s="19"/>
      <c r="E104" s="5"/>
      <c r="F104" s="5"/>
    </row>
    <row r="105" ht="24" customHeight="1" spans="2:16" x14ac:dyDescent="0.25">
      <c r="B105" s="20" t="s">
        <v>61</v>
      </c>
      <c r="C105" s="21"/>
      <c r="D105" s="21"/>
      <c r="E105" s="21"/>
      <c r="F105" s="21"/>
      <c r="G105" s="4">
        <f>IFERROR(IF(AND($C$105="",$C$106=""),IF(COUNTA($C$104:$F$104,$E$107,$C$109:$F$116)+COUNTA($E$106,$C$107)&gt;0,"⚠ Pick an exercise for this card",""),IF(AND($C$105&lt;&gt;"",$C$106&lt;&gt;""),"⚠ Use the library OR a custom exercise, not both",IF(AND($C$106&lt;&gt;"",$E$106=""),"⚠ Pick a muscle group for the custom exercise",IF(COUNT($E$109:$E$116)=0,"⚠ Enter Goal Reps for at least one set",IF(SUM($Q$109:$Q$116)&gt;0,"⚠ A set is missing Goal Reps",IF(IF($C$107="",1=0,COUNTIF($P$7:$P$214,$C$107)&lt;2),"⚠ Superset "&amp;$C$107&amp;" needs 2+ exercises",IF($C$105&lt;&gt;"",IFERROR("✓ "&amp;INDEX('Exercise Library'!$C$2:$C$319,MATCH($C$105,'Exercise Library'!$B$2:$B$319,0))&amp;IF(INDEX('Exercise Library'!$D$2:$D$319,MATCH($C$105,'Exercise Library'!$B$2:$B$319,0))="Yes"," · demo video","")&amp;" · "&amp;COUNT($E$109:$E$116)&amp;" sets","⚠ Not in the library — use Custom"),"✓ Custom ("&amp;$E$106&amp;") · "&amp;COUNT($E$109:$E$116)&amp;" sets"))))))),"⚠ Check this row")</f>
      </c>
      <c r="P105">
        <f>IF(OR($C$105&lt;&gt;"",$C$106&lt;&gt;""),$C$107,"")</f>
      </c>
    </row>
    <row r="106" spans="2:6" x14ac:dyDescent="0.25">
      <c r="B106" s="18" t="s">
        <v>46</v>
      </c>
      <c r="C106" s="5"/>
      <c r="D106" s="5"/>
      <c r="E106" s="5"/>
      <c r="F106" s="18" t="s">
        <v>47</v>
      </c>
    </row>
    <row r="107" ht="22" customHeight="1" spans="2:6" x14ac:dyDescent="0.25">
      <c r="B107" s="18" t="s">
        <v>48</v>
      </c>
      <c r="C107" s="22"/>
      <c r="D107" s="18" t="s">
        <v>49</v>
      </c>
      <c r="E107" s="5"/>
      <c r="F107" s="5"/>
    </row>
    <row r="108" spans="2:6" x14ac:dyDescent="0.25">
      <c r="B108" s="23" t="s">
        <v>50</v>
      </c>
      <c r="C108" s="23" t="s">
        <v>51</v>
      </c>
      <c r="D108" s="23" t="s">
        <v>52</v>
      </c>
      <c r="E108" s="23" t="s">
        <v>53</v>
      </c>
      <c r="F108" s="23" t="s">
        <v>54</v>
      </c>
    </row>
    <row r="109" spans="2:17" x14ac:dyDescent="0.25">
      <c r="B109" s="24">
        <v>1</v>
      </c>
      <c r="C109" s="22"/>
      <c r="D109" s="22"/>
      <c r="E109" s="22"/>
      <c r="F109" s="22"/>
      <c r="Q109">
        <f>IF(AND($E109="",COUNTA($C109:$D109,$F109)&gt;0),1,0)</f>
      </c>
    </row>
    <row r="110" spans="2:17" x14ac:dyDescent="0.25">
      <c r="B110" s="24">
        <v>2</v>
      </c>
      <c r="C110" s="22"/>
      <c r="D110" s="22"/>
      <c r="E110" s="22"/>
      <c r="F110" s="22"/>
      <c r="Q110">
        <f>IF(AND($E110="",COUNTA($C110:$D110,$F110)&gt;0),1,0)</f>
      </c>
    </row>
    <row r="111" spans="2:17" x14ac:dyDescent="0.25">
      <c r="B111" s="24">
        <v>3</v>
      </c>
      <c r="C111" s="22"/>
      <c r="D111" s="22"/>
      <c r="E111" s="22"/>
      <c r="F111" s="22"/>
      <c r="Q111">
        <f>IF(AND($E111="",COUNTA($C111:$D111,$F111)&gt;0),1,0)</f>
      </c>
    </row>
    <row r="112" spans="2:17" x14ac:dyDescent="0.25">
      <c r="B112" s="24">
        <v>4</v>
      </c>
      <c r="C112" s="22"/>
      <c r="D112" s="22"/>
      <c r="E112" s="22"/>
      <c r="F112" s="22"/>
      <c r="Q112">
        <f>IF(AND($E112="",COUNTA($C112:$D112,$F112)&gt;0),1,0)</f>
      </c>
    </row>
    <row r="113" spans="2:17" x14ac:dyDescent="0.25">
      <c r="B113" s="24">
        <v>5</v>
      </c>
      <c r="C113" s="22"/>
      <c r="D113" s="22"/>
      <c r="E113" s="22"/>
      <c r="F113" s="22"/>
      <c r="Q113">
        <f>IF(AND($E113="",COUNTA($C113:$D113,$F113)&gt;0),1,0)</f>
      </c>
    </row>
    <row r="114" spans="2:17" x14ac:dyDescent="0.25">
      <c r="B114" s="24">
        <v>6</v>
      </c>
      <c r="C114" s="22"/>
      <c r="D114" s="22"/>
      <c r="E114" s="22"/>
      <c r="F114" s="22"/>
      <c r="Q114">
        <f>IF(AND($E114="",COUNTA($C114:$D114,$F114)&gt;0),1,0)</f>
      </c>
    </row>
    <row r="115" spans="2:17" x14ac:dyDescent="0.25">
      <c r="B115" s="24">
        <v>7</v>
      </c>
      <c r="C115" s="22"/>
      <c r="D115" s="22"/>
      <c r="E115" s="22"/>
      <c r="F115" s="22"/>
      <c r="Q115">
        <f>IF(AND($E115="",COUNTA($C115:$D115,$F115)&gt;0),1,0)</f>
      </c>
    </row>
    <row r="116" spans="2:17" x14ac:dyDescent="0.25">
      <c r="B116" s="24">
        <v>8</v>
      </c>
      <c r="C116" s="22"/>
      <c r="D116" s="22"/>
      <c r="E116" s="22"/>
      <c r="F116" s="22"/>
      <c r="Q116">
        <f>IF(AND($E116="",COUNTA($C116:$D116,$F116)&gt;0),1,0)</f>
      </c>
    </row>
    <row r="118" spans="2:6" x14ac:dyDescent="0.25">
      <c r="B118" s="18" t="s">
        <v>44</v>
      </c>
      <c r="C118" s="19"/>
      <c r="D118" s="19"/>
      <c r="E118" s="5"/>
      <c r="F118" s="5"/>
    </row>
    <row r="119" ht="24" customHeight="1" spans="2:16" x14ac:dyDescent="0.25">
      <c r="B119" s="20" t="s">
        <v>62</v>
      </c>
      <c r="C119" s="21"/>
      <c r="D119" s="21"/>
      <c r="E119" s="21"/>
      <c r="F119" s="21"/>
      <c r="G119" s="4">
        <f>IFERROR(IF(AND($C$119="",$C$120=""),IF(COUNTA($C$118:$F$118,$E$121,$C$123:$F$130)+COUNTA($E$120,$C$121)&gt;0,"⚠ Pick an exercise for this card",""),IF(AND($C$119&lt;&gt;"",$C$120&lt;&gt;""),"⚠ Use the library OR a custom exercise, not both",IF(AND($C$120&lt;&gt;"",$E$120=""),"⚠ Pick a muscle group for the custom exercise",IF(COUNT($E$123:$E$130)=0,"⚠ Enter Goal Reps for at least one set",IF(SUM($Q$123:$Q$130)&gt;0,"⚠ A set is missing Goal Reps",IF(IF($C$121="",1=0,COUNTIF($P$7:$P$214,$C$121)&lt;2),"⚠ Superset "&amp;$C$121&amp;" needs 2+ exercises",IF($C$119&lt;&gt;"",IFERROR("✓ "&amp;INDEX('Exercise Library'!$C$2:$C$319,MATCH($C$119,'Exercise Library'!$B$2:$B$319,0))&amp;IF(INDEX('Exercise Library'!$D$2:$D$319,MATCH($C$119,'Exercise Library'!$B$2:$B$319,0))="Yes"," · demo video","")&amp;" · "&amp;COUNT($E$123:$E$130)&amp;" sets","⚠ Not in the library — use Custom"),"✓ Custom ("&amp;$E$120&amp;") · "&amp;COUNT($E$123:$E$130)&amp;" sets"))))))),"⚠ Check this row")</f>
      </c>
      <c r="P119">
        <f>IF(OR($C$119&lt;&gt;"",$C$120&lt;&gt;""),$C$121,"")</f>
      </c>
    </row>
    <row r="120" spans="2:6" x14ac:dyDescent="0.25">
      <c r="B120" s="18" t="s">
        <v>46</v>
      </c>
      <c r="C120" s="5"/>
      <c r="D120" s="5"/>
      <c r="E120" s="5"/>
      <c r="F120" s="18" t="s">
        <v>47</v>
      </c>
    </row>
    <row r="121" ht="22" customHeight="1" spans="2:6" x14ac:dyDescent="0.25">
      <c r="B121" s="18" t="s">
        <v>48</v>
      </c>
      <c r="C121" s="22"/>
      <c r="D121" s="18" t="s">
        <v>49</v>
      </c>
      <c r="E121" s="5"/>
      <c r="F121" s="5"/>
    </row>
    <row r="122" spans="2:6" x14ac:dyDescent="0.25">
      <c r="B122" s="23" t="s">
        <v>50</v>
      </c>
      <c r="C122" s="23" t="s">
        <v>51</v>
      </c>
      <c r="D122" s="23" t="s">
        <v>52</v>
      </c>
      <c r="E122" s="23" t="s">
        <v>53</v>
      </c>
      <c r="F122" s="23" t="s">
        <v>54</v>
      </c>
    </row>
    <row r="123" spans="2:17" x14ac:dyDescent="0.25">
      <c r="B123" s="24">
        <v>1</v>
      </c>
      <c r="C123" s="22"/>
      <c r="D123" s="22"/>
      <c r="E123" s="22"/>
      <c r="F123" s="22"/>
      <c r="Q123">
        <f>IF(AND($E123="",COUNTA($C123:$D123,$F123)&gt;0),1,0)</f>
      </c>
    </row>
    <row r="124" spans="2:17" x14ac:dyDescent="0.25">
      <c r="B124" s="24">
        <v>2</v>
      </c>
      <c r="C124" s="22"/>
      <c r="D124" s="22"/>
      <c r="E124" s="22"/>
      <c r="F124" s="22"/>
      <c r="Q124">
        <f>IF(AND($E124="",COUNTA($C124:$D124,$F124)&gt;0),1,0)</f>
      </c>
    </row>
    <row r="125" spans="2:17" x14ac:dyDescent="0.25">
      <c r="B125" s="24">
        <v>3</v>
      </c>
      <c r="C125" s="22"/>
      <c r="D125" s="22"/>
      <c r="E125" s="22"/>
      <c r="F125" s="22"/>
      <c r="Q125">
        <f>IF(AND($E125="",COUNTA($C125:$D125,$F125)&gt;0),1,0)</f>
      </c>
    </row>
    <row r="126" spans="2:17" x14ac:dyDescent="0.25">
      <c r="B126" s="24">
        <v>4</v>
      </c>
      <c r="C126" s="22"/>
      <c r="D126" s="22"/>
      <c r="E126" s="22"/>
      <c r="F126" s="22"/>
      <c r="Q126">
        <f>IF(AND($E126="",COUNTA($C126:$D126,$F126)&gt;0),1,0)</f>
      </c>
    </row>
    <row r="127" spans="2:17" x14ac:dyDescent="0.25">
      <c r="B127" s="24">
        <v>5</v>
      </c>
      <c r="C127" s="22"/>
      <c r="D127" s="22"/>
      <c r="E127" s="22"/>
      <c r="F127" s="22"/>
      <c r="Q127">
        <f>IF(AND($E127="",COUNTA($C127:$D127,$F127)&gt;0),1,0)</f>
      </c>
    </row>
    <row r="128" spans="2:17" x14ac:dyDescent="0.25">
      <c r="B128" s="24">
        <v>6</v>
      </c>
      <c r="C128" s="22"/>
      <c r="D128" s="22"/>
      <c r="E128" s="22"/>
      <c r="F128" s="22"/>
      <c r="Q128">
        <f>IF(AND($E128="",COUNTA($C128:$D128,$F128)&gt;0),1,0)</f>
      </c>
    </row>
    <row r="129" spans="2:17" x14ac:dyDescent="0.25">
      <c r="B129" s="24">
        <v>7</v>
      </c>
      <c r="C129" s="22"/>
      <c r="D129" s="22"/>
      <c r="E129" s="22"/>
      <c r="F129" s="22"/>
      <c r="Q129">
        <f>IF(AND($E129="",COUNTA($C129:$D129,$F129)&gt;0),1,0)</f>
      </c>
    </row>
    <row r="130" spans="2:17" x14ac:dyDescent="0.25">
      <c r="B130" s="24">
        <v>8</v>
      </c>
      <c r="C130" s="22"/>
      <c r="D130" s="22"/>
      <c r="E130" s="22"/>
      <c r="F130" s="22"/>
      <c r="Q130">
        <f>IF(AND($E130="",COUNTA($C130:$D130,$F130)&gt;0),1,0)</f>
      </c>
    </row>
    <row r="132" spans="2:6" x14ac:dyDescent="0.25">
      <c r="B132" s="18" t="s">
        <v>44</v>
      </c>
      <c r="C132" s="19"/>
      <c r="D132" s="19"/>
      <c r="E132" s="5"/>
      <c r="F132" s="5"/>
    </row>
    <row r="133" ht="24" customHeight="1" spans="2:16" x14ac:dyDescent="0.25">
      <c r="B133" s="20" t="s">
        <v>63</v>
      </c>
      <c r="C133" s="21"/>
      <c r="D133" s="21"/>
      <c r="E133" s="21"/>
      <c r="F133" s="21"/>
      <c r="G133" s="4">
        <f>IFERROR(IF(AND($C$133="",$C$134=""),IF(COUNTA($C$132:$F$132,$E$135,$C$137:$F$144)+COUNTA($E$134,$C$135)&gt;0,"⚠ Pick an exercise for this card",""),IF(AND($C$133&lt;&gt;"",$C$134&lt;&gt;""),"⚠ Use the library OR a custom exercise, not both",IF(AND($C$134&lt;&gt;"",$E$134=""),"⚠ Pick a muscle group for the custom exercise",IF(COUNT($E$137:$E$144)=0,"⚠ Enter Goal Reps for at least one set",IF(SUM($Q$137:$Q$144)&gt;0,"⚠ A set is missing Goal Reps",IF(IF($C$135="",1=0,COUNTIF($P$7:$P$214,$C$135)&lt;2),"⚠ Superset "&amp;$C$135&amp;" needs 2+ exercises",IF($C$133&lt;&gt;"",IFERROR("✓ "&amp;INDEX('Exercise Library'!$C$2:$C$319,MATCH($C$133,'Exercise Library'!$B$2:$B$319,0))&amp;IF(INDEX('Exercise Library'!$D$2:$D$319,MATCH($C$133,'Exercise Library'!$B$2:$B$319,0))="Yes"," · demo video","")&amp;" · "&amp;COUNT($E$137:$E$144)&amp;" sets","⚠ Not in the library — use Custom"),"✓ Custom ("&amp;$E$134&amp;") · "&amp;COUNT($E$137:$E$144)&amp;" sets"))))))),"⚠ Check this row")</f>
      </c>
      <c r="P133">
        <f>IF(OR($C$133&lt;&gt;"",$C$134&lt;&gt;""),$C$135,"")</f>
      </c>
    </row>
    <row r="134" spans="2:6" x14ac:dyDescent="0.25">
      <c r="B134" s="18" t="s">
        <v>46</v>
      </c>
      <c r="C134" s="5"/>
      <c r="D134" s="5"/>
      <c r="E134" s="5"/>
      <c r="F134" s="18" t="s">
        <v>47</v>
      </c>
    </row>
    <row r="135" ht="22" customHeight="1" spans="2:6" x14ac:dyDescent="0.25">
      <c r="B135" s="18" t="s">
        <v>48</v>
      </c>
      <c r="C135" s="22"/>
      <c r="D135" s="18" t="s">
        <v>49</v>
      </c>
      <c r="E135" s="5"/>
      <c r="F135" s="5"/>
    </row>
    <row r="136" spans="2:6" x14ac:dyDescent="0.25">
      <c r="B136" s="23" t="s">
        <v>50</v>
      </c>
      <c r="C136" s="23" t="s">
        <v>51</v>
      </c>
      <c r="D136" s="23" t="s">
        <v>52</v>
      </c>
      <c r="E136" s="23" t="s">
        <v>53</v>
      </c>
      <c r="F136" s="23" t="s">
        <v>54</v>
      </c>
    </row>
    <row r="137" spans="2:17" x14ac:dyDescent="0.25">
      <c r="B137" s="24">
        <v>1</v>
      </c>
      <c r="C137" s="22"/>
      <c r="D137" s="22"/>
      <c r="E137" s="22"/>
      <c r="F137" s="22"/>
      <c r="Q137">
        <f>IF(AND($E137="",COUNTA($C137:$D137,$F137)&gt;0),1,0)</f>
      </c>
    </row>
    <row r="138" spans="2:17" x14ac:dyDescent="0.25">
      <c r="B138" s="24">
        <v>2</v>
      </c>
      <c r="C138" s="22"/>
      <c r="D138" s="22"/>
      <c r="E138" s="22"/>
      <c r="F138" s="22"/>
      <c r="Q138">
        <f>IF(AND($E138="",COUNTA($C138:$D138,$F138)&gt;0),1,0)</f>
      </c>
    </row>
    <row r="139" spans="2:17" x14ac:dyDescent="0.25">
      <c r="B139" s="24">
        <v>3</v>
      </c>
      <c r="C139" s="22"/>
      <c r="D139" s="22"/>
      <c r="E139" s="22"/>
      <c r="F139" s="22"/>
      <c r="Q139">
        <f>IF(AND($E139="",COUNTA($C139:$D139,$F139)&gt;0),1,0)</f>
      </c>
    </row>
    <row r="140" spans="2:17" x14ac:dyDescent="0.25">
      <c r="B140" s="24">
        <v>4</v>
      </c>
      <c r="C140" s="22"/>
      <c r="D140" s="22"/>
      <c r="E140" s="22"/>
      <c r="F140" s="22"/>
      <c r="Q140">
        <f>IF(AND($E140="",COUNTA($C140:$D140,$F140)&gt;0),1,0)</f>
      </c>
    </row>
    <row r="141" spans="2:17" x14ac:dyDescent="0.25">
      <c r="B141" s="24">
        <v>5</v>
      </c>
      <c r="C141" s="22"/>
      <c r="D141" s="22"/>
      <c r="E141" s="22"/>
      <c r="F141" s="22"/>
      <c r="Q141">
        <f>IF(AND($E141="",COUNTA($C141:$D141,$F141)&gt;0),1,0)</f>
      </c>
    </row>
    <row r="142" spans="2:17" x14ac:dyDescent="0.25">
      <c r="B142" s="24">
        <v>6</v>
      </c>
      <c r="C142" s="22"/>
      <c r="D142" s="22"/>
      <c r="E142" s="22"/>
      <c r="F142" s="22"/>
      <c r="Q142">
        <f>IF(AND($E142="",COUNTA($C142:$D142,$F142)&gt;0),1,0)</f>
      </c>
    </row>
    <row r="143" spans="2:17" x14ac:dyDescent="0.25">
      <c r="B143" s="24">
        <v>7</v>
      </c>
      <c r="C143" s="22"/>
      <c r="D143" s="22"/>
      <c r="E143" s="22"/>
      <c r="F143" s="22"/>
      <c r="Q143">
        <f>IF(AND($E143="",COUNTA($C143:$D143,$F143)&gt;0),1,0)</f>
      </c>
    </row>
    <row r="144" spans="2:17" x14ac:dyDescent="0.25">
      <c r="B144" s="24">
        <v>8</v>
      </c>
      <c r="C144" s="22"/>
      <c r="D144" s="22"/>
      <c r="E144" s="22"/>
      <c r="F144" s="22"/>
      <c r="Q144">
        <f>IF(AND($E144="",COUNTA($C144:$D144,$F144)&gt;0),1,0)</f>
      </c>
    </row>
    <row r="146" spans="2:6" x14ac:dyDescent="0.25">
      <c r="B146" s="18" t="s">
        <v>44</v>
      </c>
      <c r="C146" s="19"/>
      <c r="D146" s="19"/>
      <c r="E146" s="5"/>
      <c r="F146" s="5"/>
    </row>
    <row r="147" ht="24" customHeight="1" spans="2:16" x14ac:dyDescent="0.25">
      <c r="B147" s="20" t="s">
        <v>64</v>
      </c>
      <c r="C147" s="21"/>
      <c r="D147" s="21"/>
      <c r="E147" s="21"/>
      <c r="F147" s="21"/>
      <c r="G147" s="4">
        <f>IFERROR(IF(AND($C$147="",$C$148=""),IF(COUNTA($C$146:$F$146,$E$149,$C$151:$F$158)+COUNTA($E$148,$C$149)&gt;0,"⚠ Pick an exercise for this card",""),IF(AND($C$147&lt;&gt;"",$C$148&lt;&gt;""),"⚠ Use the library OR a custom exercise, not both",IF(AND($C$148&lt;&gt;"",$E$148=""),"⚠ Pick a muscle group for the custom exercise",IF(COUNT($E$151:$E$158)=0,"⚠ Enter Goal Reps for at least one set",IF(SUM($Q$151:$Q$158)&gt;0,"⚠ A set is missing Goal Reps",IF(IF($C$149="",1=0,COUNTIF($P$7:$P$214,$C$149)&lt;2),"⚠ Superset "&amp;$C$149&amp;" needs 2+ exercises",IF($C$147&lt;&gt;"",IFERROR("✓ "&amp;INDEX('Exercise Library'!$C$2:$C$319,MATCH($C$147,'Exercise Library'!$B$2:$B$319,0))&amp;IF(INDEX('Exercise Library'!$D$2:$D$319,MATCH($C$147,'Exercise Library'!$B$2:$B$319,0))="Yes"," · demo video","")&amp;" · "&amp;COUNT($E$151:$E$158)&amp;" sets","⚠ Not in the library — use Custom"),"✓ Custom ("&amp;$E$148&amp;") · "&amp;COUNT($E$151:$E$158)&amp;" sets"))))))),"⚠ Check this row")</f>
      </c>
      <c r="P147">
        <f>IF(OR($C$147&lt;&gt;"",$C$148&lt;&gt;""),$C$149,"")</f>
      </c>
    </row>
    <row r="148" spans="2:6" x14ac:dyDescent="0.25">
      <c r="B148" s="18" t="s">
        <v>46</v>
      </c>
      <c r="C148" s="5"/>
      <c r="D148" s="5"/>
      <c r="E148" s="5"/>
      <c r="F148" s="18" t="s">
        <v>47</v>
      </c>
    </row>
    <row r="149" ht="22" customHeight="1" spans="2:6" x14ac:dyDescent="0.25">
      <c r="B149" s="18" t="s">
        <v>48</v>
      </c>
      <c r="C149" s="22"/>
      <c r="D149" s="18" t="s">
        <v>49</v>
      </c>
      <c r="E149" s="5"/>
      <c r="F149" s="5"/>
    </row>
    <row r="150" spans="2:6" x14ac:dyDescent="0.25">
      <c r="B150" s="23" t="s">
        <v>50</v>
      </c>
      <c r="C150" s="23" t="s">
        <v>51</v>
      </c>
      <c r="D150" s="23" t="s">
        <v>52</v>
      </c>
      <c r="E150" s="23" t="s">
        <v>53</v>
      </c>
      <c r="F150" s="23" t="s">
        <v>54</v>
      </c>
    </row>
    <row r="151" spans="2:17" x14ac:dyDescent="0.25">
      <c r="B151" s="24">
        <v>1</v>
      </c>
      <c r="C151" s="22"/>
      <c r="D151" s="22"/>
      <c r="E151" s="22"/>
      <c r="F151" s="22"/>
      <c r="Q151">
        <f>IF(AND($E151="",COUNTA($C151:$D151,$F151)&gt;0),1,0)</f>
      </c>
    </row>
    <row r="152" spans="2:17" x14ac:dyDescent="0.25">
      <c r="B152" s="24">
        <v>2</v>
      </c>
      <c r="C152" s="22"/>
      <c r="D152" s="22"/>
      <c r="E152" s="22"/>
      <c r="F152" s="22"/>
      <c r="Q152">
        <f>IF(AND($E152="",COUNTA($C152:$D152,$F152)&gt;0),1,0)</f>
      </c>
    </row>
    <row r="153" spans="2:17" x14ac:dyDescent="0.25">
      <c r="B153" s="24">
        <v>3</v>
      </c>
      <c r="C153" s="22"/>
      <c r="D153" s="22"/>
      <c r="E153" s="22"/>
      <c r="F153" s="22"/>
      <c r="Q153">
        <f>IF(AND($E153="",COUNTA($C153:$D153,$F153)&gt;0),1,0)</f>
      </c>
    </row>
    <row r="154" spans="2:17" x14ac:dyDescent="0.25">
      <c r="B154" s="24">
        <v>4</v>
      </c>
      <c r="C154" s="22"/>
      <c r="D154" s="22"/>
      <c r="E154" s="22"/>
      <c r="F154" s="22"/>
      <c r="Q154">
        <f>IF(AND($E154="",COUNTA($C154:$D154,$F154)&gt;0),1,0)</f>
      </c>
    </row>
    <row r="155" spans="2:17" x14ac:dyDescent="0.25">
      <c r="B155" s="24">
        <v>5</v>
      </c>
      <c r="C155" s="22"/>
      <c r="D155" s="22"/>
      <c r="E155" s="22"/>
      <c r="F155" s="22"/>
      <c r="Q155">
        <f>IF(AND($E155="",COUNTA($C155:$D155,$F155)&gt;0),1,0)</f>
      </c>
    </row>
    <row r="156" spans="2:17" x14ac:dyDescent="0.25">
      <c r="B156" s="24">
        <v>6</v>
      </c>
      <c r="C156" s="22"/>
      <c r="D156" s="22"/>
      <c r="E156" s="22"/>
      <c r="F156" s="22"/>
      <c r="Q156">
        <f>IF(AND($E156="",COUNTA($C156:$D156,$F156)&gt;0),1,0)</f>
      </c>
    </row>
    <row r="157" spans="2:17" x14ac:dyDescent="0.25">
      <c r="B157" s="24">
        <v>7</v>
      </c>
      <c r="C157" s="22"/>
      <c r="D157" s="22"/>
      <c r="E157" s="22"/>
      <c r="F157" s="22"/>
      <c r="Q157">
        <f>IF(AND($E157="",COUNTA($C157:$D157,$F157)&gt;0),1,0)</f>
      </c>
    </row>
    <row r="158" spans="2:17" x14ac:dyDescent="0.25">
      <c r="B158" s="24">
        <v>8</v>
      </c>
      <c r="C158" s="22"/>
      <c r="D158" s="22"/>
      <c r="E158" s="22"/>
      <c r="F158" s="22"/>
      <c r="Q158">
        <f>IF(AND($E158="",COUNTA($C158:$D158,$F158)&gt;0),1,0)</f>
      </c>
    </row>
    <row r="160" spans="2:6" x14ac:dyDescent="0.25">
      <c r="B160" s="18" t="s">
        <v>44</v>
      </c>
      <c r="C160" s="19"/>
      <c r="D160" s="19"/>
      <c r="E160" s="5"/>
      <c r="F160" s="5"/>
    </row>
    <row r="161" ht="24" customHeight="1" spans="2:16" x14ac:dyDescent="0.25">
      <c r="B161" s="20" t="s">
        <v>65</v>
      </c>
      <c r="C161" s="21"/>
      <c r="D161" s="21"/>
      <c r="E161" s="21"/>
      <c r="F161" s="21"/>
      <c r="G161" s="4">
        <f>IFERROR(IF(AND($C$161="",$C$162=""),IF(COUNTA($C$160:$F$160,$E$163,$C$165:$F$172)+COUNTA($E$162,$C$163)&gt;0,"⚠ Pick an exercise for this card",""),IF(AND($C$161&lt;&gt;"",$C$162&lt;&gt;""),"⚠ Use the library OR a custom exercise, not both",IF(AND($C$162&lt;&gt;"",$E$162=""),"⚠ Pick a muscle group for the custom exercise",IF(COUNT($E$165:$E$172)=0,"⚠ Enter Goal Reps for at least one set",IF(SUM($Q$165:$Q$172)&gt;0,"⚠ A set is missing Goal Reps",IF(IF($C$163="",1=0,COUNTIF($P$7:$P$214,$C$163)&lt;2),"⚠ Superset "&amp;$C$163&amp;" needs 2+ exercises",IF($C$161&lt;&gt;"",IFERROR("✓ "&amp;INDEX('Exercise Library'!$C$2:$C$319,MATCH($C$161,'Exercise Library'!$B$2:$B$319,0))&amp;IF(INDEX('Exercise Library'!$D$2:$D$319,MATCH($C$161,'Exercise Library'!$B$2:$B$319,0))="Yes"," · demo video","")&amp;" · "&amp;COUNT($E$165:$E$172)&amp;" sets","⚠ Not in the library — use Custom"),"✓ Custom ("&amp;$E$162&amp;") · "&amp;COUNT($E$165:$E$172)&amp;" sets"))))))),"⚠ Check this row")</f>
      </c>
      <c r="P161">
        <f>IF(OR($C$161&lt;&gt;"",$C$162&lt;&gt;""),$C$163,"")</f>
      </c>
    </row>
    <row r="162" spans="2:6" x14ac:dyDescent="0.25">
      <c r="B162" s="18" t="s">
        <v>46</v>
      </c>
      <c r="C162" s="5"/>
      <c r="D162" s="5"/>
      <c r="E162" s="5"/>
      <c r="F162" s="18" t="s">
        <v>47</v>
      </c>
    </row>
    <row r="163" ht="22" customHeight="1" spans="2:6" x14ac:dyDescent="0.25">
      <c r="B163" s="18" t="s">
        <v>48</v>
      </c>
      <c r="C163" s="22"/>
      <c r="D163" s="18" t="s">
        <v>49</v>
      </c>
      <c r="E163" s="5"/>
      <c r="F163" s="5"/>
    </row>
    <row r="164" spans="2:6" x14ac:dyDescent="0.25">
      <c r="B164" s="23" t="s">
        <v>50</v>
      </c>
      <c r="C164" s="23" t="s">
        <v>51</v>
      </c>
      <c r="D164" s="23" t="s">
        <v>52</v>
      </c>
      <c r="E164" s="23" t="s">
        <v>53</v>
      </c>
      <c r="F164" s="23" t="s">
        <v>54</v>
      </c>
    </row>
    <row r="165" spans="2:17" x14ac:dyDescent="0.25">
      <c r="B165" s="24">
        <v>1</v>
      </c>
      <c r="C165" s="22"/>
      <c r="D165" s="22"/>
      <c r="E165" s="22"/>
      <c r="F165" s="22"/>
      <c r="Q165">
        <f>IF(AND($E165="",COUNTA($C165:$D165,$F165)&gt;0),1,0)</f>
      </c>
    </row>
    <row r="166" spans="2:17" x14ac:dyDescent="0.25">
      <c r="B166" s="24">
        <v>2</v>
      </c>
      <c r="C166" s="22"/>
      <c r="D166" s="22"/>
      <c r="E166" s="22"/>
      <c r="F166" s="22"/>
      <c r="Q166">
        <f>IF(AND($E166="",COUNTA($C166:$D166,$F166)&gt;0),1,0)</f>
      </c>
    </row>
    <row r="167" spans="2:17" x14ac:dyDescent="0.25">
      <c r="B167" s="24">
        <v>3</v>
      </c>
      <c r="C167" s="22"/>
      <c r="D167" s="22"/>
      <c r="E167" s="22"/>
      <c r="F167" s="22"/>
      <c r="Q167">
        <f>IF(AND($E167="",COUNTA($C167:$D167,$F167)&gt;0),1,0)</f>
      </c>
    </row>
    <row r="168" spans="2:17" x14ac:dyDescent="0.25">
      <c r="B168" s="24">
        <v>4</v>
      </c>
      <c r="C168" s="22"/>
      <c r="D168" s="22"/>
      <c r="E168" s="22"/>
      <c r="F168" s="22"/>
      <c r="Q168">
        <f>IF(AND($E168="",COUNTA($C168:$D168,$F168)&gt;0),1,0)</f>
      </c>
    </row>
    <row r="169" spans="2:17" x14ac:dyDescent="0.25">
      <c r="B169" s="24">
        <v>5</v>
      </c>
      <c r="C169" s="22"/>
      <c r="D169" s="22"/>
      <c r="E169" s="22"/>
      <c r="F169" s="22"/>
      <c r="Q169">
        <f>IF(AND($E169="",COUNTA($C169:$D169,$F169)&gt;0),1,0)</f>
      </c>
    </row>
    <row r="170" spans="2:17" x14ac:dyDescent="0.25">
      <c r="B170" s="24">
        <v>6</v>
      </c>
      <c r="C170" s="22"/>
      <c r="D170" s="22"/>
      <c r="E170" s="22"/>
      <c r="F170" s="22"/>
      <c r="Q170">
        <f>IF(AND($E170="",COUNTA($C170:$D170,$F170)&gt;0),1,0)</f>
      </c>
    </row>
    <row r="171" spans="2:17" x14ac:dyDescent="0.25">
      <c r="B171" s="24">
        <v>7</v>
      </c>
      <c r="C171" s="22"/>
      <c r="D171" s="22"/>
      <c r="E171" s="22"/>
      <c r="F171" s="22"/>
      <c r="Q171">
        <f>IF(AND($E171="",COUNTA($C171:$D171,$F171)&gt;0),1,0)</f>
      </c>
    </row>
    <row r="172" spans="2:17" x14ac:dyDescent="0.25">
      <c r="B172" s="24">
        <v>8</v>
      </c>
      <c r="C172" s="22"/>
      <c r="D172" s="22"/>
      <c r="E172" s="22"/>
      <c r="F172" s="22"/>
      <c r="Q172">
        <f>IF(AND($E172="",COUNTA($C172:$D172,$F172)&gt;0),1,0)</f>
      </c>
    </row>
    <row r="174" spans="2:6" x14ac:dyDescent="0.25">
      <c r="B174" s="18" t="s">
        <v>44</v>
      </c>
      <c r="C174" s="19"/>
      <c r="D174" s="19"/>
      <c r="E174" s="5"/>
      <c r="F174" s="5"/>
    </row>
    <row r="175" ht="24" customHeight="1" spans="2:16" x14ac:dyDescent="0.25">
      <c r="B175" s="20" t="s">
        <v>66</v>
      </c>
      <c r="C175" s="21"/>
      <c r="D175" s="21"/>
      <c r="E175" s="21"/>
      <c r="F175" s="21"/>
      <c r="G175" s="4">
        <f>IFERROR(IF(AND($C$175="",$C$176=""),IF(COUNTA($C$174:$F$174,$E$177,$C$179:$F$186)+COUNTA($E$176,$C$177)&gt;0,"⚠ Pick an exercise for this card",""),IF(AND($C$175&lt;&gt;"",$C$176&lt;&gt;""),"⚠ Use the library OR a custom exercise, not both",IF(AND($C$176&lt;&gt;"",$E$176=""),"⚠ Pick a muscle group for the custom exercise",IF(COUNT($E$179:$E$186)=0,"⚠ Enter Goal Reps for at least one set",IF(SUM($Q$179:$Q$186)&gt;0,"⚠ A set is missing Goal Reps",IF(IF($C$177="",1=0,COUNTIF($P$7:$P$214,$C$177)&lt;2),"⚠ Superset "&amp;$C$177&amp;" needs 2+ exercises",IF($C$175&lt;&gt;"",IFERROR("✓ "&amp;INDEX('Exercise Library'!$C$2:$C$319,MATCH($C$175,'Exercise Library'!$B$2:$B$319,0))&amp;IF(INDEX('Exercise Library'!$D$2:$D$319,MATCH($C$175,'Exercise Library'!$B$2:$B$319,0))="Yes"," · demo video","")&amp;" · "&amp;COUNT($E$179:$E$186)&amp;" sets","⚠ Not in the library — use Custom"),"✓ Custom ("&amp;$E$176&amp;") · "&amp;COUNT($E$179:$E$186)&amp;" sets"))))))),"⚠ Check this row")</f>
      </c>
      <c r="P175">
        <f>IF(OR($C$175&lt;&gt;"",$C$176&lt;&gt;""),$C$177,"")</f>
      </c>
    </row>
    <row r="176" spans="2:6" x14ac:dyDescent="0.25">
      <c r="B176" s="18" t="s">
        <v>46</v>
      </c>
      <c r="C176" s="5"/>
      <c r="D176" s="5"/>
      <c r="E176" s="5"/>
      <c r="F176" s="18" t="s">
        <v>47</v>
      </c>
    </row>
    <row r="177" ht="22" customHeight="1" spans="2:6" x14ac:dyDescent="0.25">
      <c r="B177" s="18" t="s">
        <v>48</v>
      </c>
      <c r="C177" s="22"/>
      <c r="D177" s="18" t="s">
        <v>49</v>
      </c>
      <c r="E177" s="5"/>
      <c r="F177" s="5"/>
    </row>
    <row r="178" spans="2:6" x14ac:dyDescent="0.25">
      <c r="B178" s="23" t="s">
        <v>50</v>
      </c>
      <c r="C178" s="23" t="s">
        <v>51</v>
      </c>
      <c r="D178" s="23" t="s">
        <v>52</v>
      </c>
      <c r="E178" s="23" t="s">
        <v>53</v>
      </c>
      <c r="F178" s="23" t="s">
        <v>54</v>
      </c>
    </row>
    <row r="179" spans="2:17" x14ac:dyDescent="0.25">
      <c r="B179" s="24">
        <v>1</v>
      </c>
      <c r="C179" s="22"/>
      <c r="D179" s="22"/>
      <c r="E179" s="22"/>
      <c r="F179" s="22"/>
      <c r="Q179">
        <f>IF(AND($E179="",COUNTA($C179:$D179,$F179)&gt;0),1,0)</f>
      </c>
    </row>
    <row r="180" spans="2:17" x14ac:dyDescent="0.25">
      <c r="B180" s="24">
        <v>2</v>
      </c>
      <c r="C180" s="22"/>
      <c r="D180" s="22"/>
      <c r="E180" s="22"/>
      <c r="F180" s="22"/>
      <c r="Q180">
        <f>IF(AND($E180="",COUNTA($C180:$D180,$F180)&gt;0),1,0)</f>
      </c>
    </row>
    <row r="181" spans="2:17" x14ac:dyDescent="0.25">
      <c r="B181" s="24">
        <v>3</v>
      </c>
      <c r="C181" s="22"/>
      <c r="D181" s="22"/>
      <c r="E181" s="22"/>
      <c r="F181" s="22"/>
      <c r="Q181">
        <f>IF(AND($E181="",COUNTA($C181:$D181,$F181)&gt;0),1,0)</f>
      </c>
    </row>
    <row r="182" spans="2:17" x14ac:dyDescent="0.25">
      <c r="B182" s="24">
        <v>4</v>
      </c>
      <c r="C182" s="22"/>
      <c r="D182" s="22"/>
      <c r="E182" s="22"/>
      <c r="F182" s="22"/>
      <c r="Q182">
        <f>IF(AND($E182="",COUNTA($C182:$D182,$F182)&gt;0),1,0)</f>
      </c>
    </row>
    <row r="183" spans="2:17" x14ac:dyDescent="0.25">
      <c r="B183" s="24">
        <v>5</v>
      </c>
      <c r="C183" s="22"/>
      <c r="D183" s="22"/>
      <c r="E183" s="22"/>
      <c r="F183" s="22"/>
      <c r="Q183">
        <f>IF(AND($E183="",COUNTA($C183:$D183,$F183)&gt;0),1,0)</f>
      </c>
    </row>
    <row r="184" spans="2:17" x14ac:dyDescent="0.25">
      <c r="B184" s="24">
        <v>6</v>
      </c>
      <c r="C184" s="22"/>
      <c r="D184" s="22"/>
      <c r="E184" s="22"/>
      <c r="F184" s="22"/>
      <c r="Q184">
        <f>IF(AND($E184="",COUNTA($C184:$D184,$F184)&gt;0),1,0)</f>
      </c>
    </row>
    <row r="185" spans="2:17" x14ac:dyDescent="0.25">
      <c r="B185" s="24">
        <v>7</v>
      </c>
      <c r="C185" s="22"/>
      <c r="D185" s="22"/>
      <c r="E185" s="22"/>
      <c r="F185" s="22"/>
      <c r="Q185">
        <f>IF(AND($E185="",COUNTA($C185:$D185,$F185)&gt;0),1,0)</f>
      </c>
    </row>
    <row r="186" spans="2:17" x14ac:dyDescent="0.25">
      <c r="B186" s="24">
        <v>8</v>
      </c>
      <c r="C186" s="22"/>
      <c r="D186" s="22"/>
      <c r="E186" s="22"/>
      <c r="F186" s="22"/>
      <c r="Q186">
        <f>IF(AND($E186="",COUNTA($C186:$D186,$F186)&gt;0),1,0)</f>
      </c>
    </row>
    <row r="188" spans="2:6" x14ac:dyDescent="0.25">
      <c r="B188" s="18" t="s">
        <v>44</v>
      </c>
      <c r="C188" s="19"/>
      <c r="D188" s="19"/>
      <c r="E188" s="5"/>
      <c r="F188" s="5"/>
    </row>
    <row r="189" ht="24" customHeight="1" spans="2:16" x14ac:dyDescent="0.25">
      <c r="B189" s="20" t="s">
        <v>67</v>
      </c>
      <c r="C189" s="21"/>
      <c r="D189" s="21"/>
      <c r="E189" s="21"/>
      <c r="F189" s="21"/>
      <c r="G189" s="4">
        <f>IFERROR(IF(AND($C$189="",$C$190=""),IF(COUNTA($C$188:$F$188,$E$191,$C$193:$F$200)+COUNTA($E$190,$C$191)&gt;0,"⚠ Pick an exercise for this card",""),IF(AND($C$189&lt;&gt;"",$C$190&lt;&gt;""),"⚠ Use the library OR a custom exercise, not both",IF(AND($C$190&lt;&gt;"",$E$190=""),"⚠ Pick a muscle group for the custom exercise",IF(COUNT($E$193:$E$200)=0,"⚠ Enter Goal Reps for at least one set",IF(SUM($Q$193:$Q$200)&gt;0,"⚠ A set is missing Goal Reps",IF(IF($C$191="",1=0,COUNTIF($P$7:$P$214,$C$191)&lt;2),"⚠ Superset "&amp;$C$191&amp;" needs 2+ exercises",IF($C$189&lt;&gt;"",IFERROR("✓ "&amp;INDEX('Exercise Library'!$C$2:$C$319,MATCH($C$189,'Exercise Library'!$B$2:$B$319,0))&amp;IF(INDEX('Exercise Library'!$D$2:$D$319,MATCH($C$189,'Exercise Library'!$B$2:$B$319,0))="Yes"," · demo video","")&amp;" · "&amp;COUNT($E$193:$E$200)&amp;" sets","⚠ Not in the library — use Custom"),"✓ Custom ("&amp;$E$190&amp;") · "&amp;COUNT($E$193:$E$200)&amp;" sets"))))))),"⚠ Check this row")</f>
      </c>
      <c r="P189">
        <f>IF(OR($C$189&lt;&gt;"",$C$190&lt;&gt;""),$C$191,"")</f>
      </c>
    </row>
    <row r="190" spans="2:6" x14ac:dyDescent="0.25">
      <c r="B190" s="18" t="s">
        <v>46</v>
      </c>
      <c r="C190" s="5"/>
      <c r="D190" s="5"/>
      <c r="E190" s="5"/>
      <c r="F190" s="18" t="s">
        <v>47</v>
      </c>
    </row>
    <row r="191" ht="22" customHeight="1" spans="2:6" x14ac:dyDescent="0.25">
      <c r="B191" s="18" t="s">
        <v>48</v>
      </c>
      <c r="C191" s="22"/>
      <c r="D191" s="18" t="s">
        <v>49</v>
      </c>
      <c r="E191" s="5"/>
      <c r="F191" s="5"/>
    </row>
    <row r="192" spans="2:6" x14ac:dyDescent="0.25">
      <c r="B192" s="23" t="s">
        <v>50</v>
      </c>
      <c r="C192" s="23" t="s">
        <v>51</v>
      </c>
      <c r="D192" s="23" t="s">
        <v>52</v>
      </c>
      <c r="E192" s="23" t="s">
        <v>53</v>
      </c>
      <c r="F192" s="23" t="s">
        <v>54</v>
      </c>
    </row>
    <row r="193" spans="2:17" x14ac:dyDescent="0.25">
      <c r="B193" s="24">
        <v>1</v>
      </c>
      <c r="C193" s="22"/>
      <c r="D193" s="22"/>
      <c r="E193" s="22"/>
      <c r="F193" s="22"/>
      <c r="Q193">
        <f>IF(AND($E193="",COUNTA($C193:$D193,$F193)&gt;0),1,0)</f>
      </c>
    </row>
    <row r="194" spans="2:17" x14ac:dyDescent="0.25">
      <c r="B194" s="24">
        <v>2</v>
      </c>
      <c r="C194" s="22"/>
      <c r="D194" s="22"/>
      <c r="E194" s="22"/>
      <c r="F194" s="22"/>
      <c r="Q194">
        <f>IF(AND($E194="",COUNTA($C194:$D194,$F194)&gt;0),1,0)</f>
      </c>
    </row>
    <row r="195" spans="2:17" x14ac:dyDescent="0.25">
      <c r="B195" s="24">
        <v>3</v>
      </c>
      <c r="C195" s="22"/>
      <c r="D195" s="22"/>
      <c r="E195" s="22"/>
      <c r="F195" s="22"/>
      <c r="Q195">
        <f>IF(AND($E195="",COUNTA($C195:$D195,$F195)&gt;0),1,0)</f>
      </c>
    </row>
    <row r="196" spans="2:17" x14ac:dyDescent="0.25">
      <c r="B196" s="24">
        <v>4</v>
      </c>
      <c r="C196" s="22"/>
      <c r="D196" s="22"/>
      <c r="E196" s="22"/>
      <c r="F196" s="22"/>
      <c r="Q196">
        <f>IF(AND($E196="",COUNTA($C196:$D196,$F196)&gt;0),1,0)</f>
      </c>
    </row>
    <row r="197" spans="2:17" x14ac:dyDescent="0.25">
      <c r="B197" s="24">
        <v>5</v>
      </c>
      <c r="C197" s="22"/>
      <c r="D197" s="22"/>
      <c r="E197" s="22"/>
      <c r="F197" s="22"/>
      <c r="Q197">
        <f>IF(AND($E197="",COUNTA($C197:$D197,$F197)&gt;0),1,0)</f>
      </c>
    </row>
    <row r="198" spans="2:17" x14ac:dyDescent="0.25">
      <c r="B198" s="24">
        <v>6</v>
      </c>
      <c r="C198" s="22"/>
      <c r="D198" s="22"/>
      <c r="E198" s="22"/>
      <c r="F198" s="22"/>
      <c r="Q198">
        <f>IF(AND($E198="",COUNTA($C198:$D198,$F198)&gt;0),1,0)</f>
      </c>
    </row>
    <row r="199" spans="2:17" x14ac:dyDescent="0.25">
      <c r="B199" s="24">
        <v>7</v>
      </c>
      <c r="C199" s="22"/>
      <c r="D199" s="22"/>
      <c r="E199" s="22"/>
      <c r="F199" s="22"/>
      <c r="Q199">
        <f>IF(AND($E199="",COUNTA($C199:$D199,$F199)&gt;0),1,0)</f>
      </c>
    </row>
    <row r="200" spans="2:17" x14ac:dyDescent="0.25">
      <c r="B200" s="24">
        <v>8</v>
      </c>
      <c r="C200" s="22"/>
      <c r="D200" s="22"/>
      <c r="E200" s="22"/>
      <c r="F200" s="22"/>
      <c r="Q200">
        <f>IF(AND($E200="",COUNTA($C200:$D200,$F200)&gt;0),1,0)</f>
      </c>
    </row>
    <row r="202" spans="2:6" x14ac:dyDescent="0.25">
      <c r="B202" s="18" t="s">
        <v>44</v>
      </c>
      <c r="C202" s="19"/>
      <c r="D202" s="19"/>
      <c r="E202" s="5"/>
      <c r="F202" s="5"/>
    </row>
    <row r="203" ht="24" customHeight="1" spans="2:16" x14ac:dyDescent="0.25">
      <c r="B203" s="20" t="s">
        <v>68</v>
      </c>
      <c r="C203" s="21"/>
      <c r="D203" s="21"/>
      <c r="E203" s="21"/>
      <c r="F203" s="21"/>
      <c r="G203" s="4">
        <f>IFERROR(IF(AND($C$203="",$C$204=""),IF(COUNTA($C$202:$F$202,$E$205,$C$207:$F$214)+COUNTA($E$204,$C$205)&gt;0,"⚠ Pick an exercise for this card",""),IF(AND($C$203&lt;&gt;"",$C$204&lt;&gt;""),"⚠ Use the library OR a custom exercise, not both",IF(AND($C$204&lt;&gt;"",$E$204=""),"⚠ Pick a muscle group for the custom exercise",IF(COUNT($E$207:$E$214)=0,"⚠ Enter Goal Reps for at least one set",IF(SUM($Q$207:$Q$214)&gt;0,"⚠ A set is missing Goal Reps",IF(IF($C$205="",1=0,COUNTIF($P$7:$P$214,$C$205)&lt;2),"⚠ Superset "&amp;$C$205&amp;" needs 2+ exercises",IF($C$203&lt;&gt;"",IFERROR("✓ "&amp;INDEX('Exercise Library'!$C$2:$C$319,MATCH($C$203,'Exercise Library'!$B$2:$B$319,0))&amp;IF(INDEX('Exercise Library'!$D$2:$D$319,MATCH($C$203,'Exercise Library'!$B$2:$B$319,0))="Yes"," · demo video","")&amp;" · "&amp;COUNT($E$207:$E$214)&amp;" sets","⚠ Not in the library — use Custom"),"✓ Custom ("&amp;$E$204&amp;") · "&amp;COUNT($E$207:$E$214)&amp;" sets"))))))),"⚠ Check this row")</f>
      </c>
      <c r="P203">
        <f>IF(OR($C$203&lt;&gt;"",$C$204&lt;&gt;""),$C$205,"")</f>
      </c>
    </row>
    <row r="204" spans="2:6" x14ac:dyDescent="0.25">
      <c r="B204" s="18" t="s">
        <v>46</v>
      </c>
      <c r="C204" s="5"/>
      <c r="D204" s="5"/>
      <c r="E204" s="5"/>
      <c r="F204" s="18" t="s">
        <v>47</v>
      </c>
    </row>
    <row r="205" ht="22" customHeight="1" spans="2:6" x14ac:dyDescent="0.25">
      <c r="B205" s="18" t="s">
        <v>48</v>
      </c>
      <c r="C205" s="22"/>
      <c r="D205" s="18" t="s">
        <v>49</v>
      </c>
      <c r="E205" s="5"/>
      <c r="F205" s="5"/>
    </row>
    <row r="206" spans="2:6" x14ac:dyDescent="0.25">
      <c r="B206" s="23" t="s">
        <v>50</v>
      </c>
      <c r="C206" s="23" t="s">
        <v>51</v>
      </c>
      <c r="D206" s="23" t="s">
        <v>52</v>
      </c>
      <c r="E206" s="23" t="s">
        <v>53</v>
      </c>
      <c r="F206" s="23" t="s">
        <v>54</v>
      </c>
    </row>
    <row r="207" spans="2:17" x14ac:dyDescent="0.25">
      <c r="B207" s="24">
        <v>1</v>
      </c>
      <c r="C207" s="22"/>
      <c r="D207" s="22"/>
      <c r="E207" s="22"/>
      <c r="F207" s="22"/>
      <c r="Q207">
        <f>IF(AND($E207="",COUNTA($C207:$D207,$F207)&gt;0),1,0)</f>
      </c>
    </row>
    <row r="208" spans="2:17" x14ac:dyDescent="0.25">
      <c r="B208" s="24">
        <v>2</v>
      </c>
      <c r="C208" s="22"/>
      <c r="D208" s="22"/>
      <c r="E208" s="22"/>
      <c r="F208" s="22"/>
      <c r="Q208">
        <f>IF(AND($E208="",COUNTA($C208:$D208,$F208)&gt;0),1,0)</f>
      </c>
    </row>
    <row r="209" spans="2:17" x14ac:dyDescent="0.25">
      <c r="B209" s="24">
        <v>3</v>
      </c>
      <c r="C209" s="22"/>
      <c r="D209" s="22"/>
      <c r="E209" s="22"/>
      <c r="F209" s="22"/>
      <c r="Q209">
        <f>IF(AND($E209="",COUNTA($C209:$D209,$F209)&gt;0),1,0)</f>
      </c>
    </row>
    <row r="210" spans="2:17" x14ac:dyDescent="0.25">
      <c r="B210" s="24">
        <v>4</v>
      </c>
      <c r="C210" s="22"/>
      <c r="D210" s="22"/>
      <c r="E210" s="22"/>
      <c r="F210" s="22"/>
      <c r="Q210">
        <f>IF(AND($E210="",COUNTA($C210:$D210,$F210)&gt;0),1,0)</f>
      </c>
    </row>
    <row r="211" spans="2:17" x14ac:dyDescent="0.25">
      <c r="B211" s="24">
        <v>5</v>
      </c>
      <c r="C211" s="22"/>
      <c r="D211" s="22"/>
      <c r="E211" s="22"/>
      <c r="F211" s="22"/>
      <c r="Q211">
        <f>IF(AND($E211="",COUNTA($C211:$D211,$F211)&gt;0),1,0)</f>
      </c>
    </row>
    <row r="212" spans="2:17" x14ac:dyDescent="0.25">
      <c r="B212" s="24">
        <v>6</v>
      </c>
      <c r="C212" s="22"/>
      <c r="D212" s="22"/>
      <c r="E212" s="22"/>
      <c r="F212" s="22"/>
      <c r="Q212">
        <f>IF(AND($E212="",COUNTA($C212:$D212,$F212)&gt;0),1,0)</f>
      </c>
    </row>
    <row r="213" spans="2:17" x14ac:dyDescent="0.25">
      <c r="B213" s="24">
        <v>7</v>
      </c>
      <c r="C213" s="22"/>
      <c r="D213" s="22"/>
      <c r="E213" s="22"/>
      <c r="F213" s="22"/>
      <c r="Q213">
        <f>IF(AND($E213="",COUNTA($C213:$D213,$F213)&gt;0),1,0)</f>
      </c>
    </row>
    <row r="214" spans="2:17" x14ac:dyDescent="0.25">
      <c r="B214" s="24">
        <v>8</v>
      </c>
      <c r="C214" s="22"/>
      <c r="D214" s="22"/>
      <c r="E214" s="22"/>
      <c r="F214" s="22"/>
      <c r="Q214">
        <f>IF(AND($E214="",COUNTA($C214:$D214,$F214)&gt;0),1,0)</f>
      </c>
    </row>
  </sheetData>
  <mergeCells count="78">
    <mergeCell ref="A1:G1"/>
    <mergeCell ref="C3:F3"/>
    <mergeCell ref="C4:F4"/>
    <mergeCell ref="C6:D6"/>
    <mergeCell ref="E6:F6"/>
    <mergeCell ref="C7:F7"/>
    <mergeCell ref="C8:D8"/>
    <mergeCell ref="E9:F9"/>
    <mergeCell ref="C20:D20"/>
    <mergeCell ref="E20:F20"/>
    <mergeCell ref="C21:F21"/>
    <mergeCell ref="C22:D22"/>
    <mergeCell ref="E23:F23"/>
    <mergeCell ref="C34:D34"/>
    <mergeCell ref="E34:F34"/>
    <mergeCell ref="C35:F35"/>
    <mergeCell ref="C36:D36"/>
    <mergeCell ref="E37:F37"/>
    <mergeCell ref="C48:D48"/>
    <mergeCell ref="E48:F48"/>
    <mergeCell ref="C49:F49"/>
    <mergeCell ref="C50:D50"/>
    <mergeCell ref="E51:F51"/>
    <mergeCell ref="C62:D62"/>
    <mergeCell ref="E62:F62"/>
    <mergeCell ref="C63:F63"/>
    <mergeCell ref="C64:D64"/>
    <mergeCell ref="E65:F65"/>
    <mergeCell ref="C76:D76"/>
    <mergeCell ref="E76:F76"/>
    <mergeCell ref="C77:F77"/>
    <mergeCell ref="C78:D78"/>
    <mergeCell ref="E79:F79"/>
    <mergeCell ref="C90:D90"/>
    <mergeCell ref="E90:F90"/>
    <mergeCell ref="C91:F91"/>
    <mergeCell ref="C92:D92"/>
    <mergeCell ref="E93:F93"/>
    <mergeCell ref="C104:D104"/>
    <mergeCell ref="E104:F104"/>
    <mergeCell ref="C105:F105"/>
    <mergeCell ref="C106:D106"/>
    <mergeCell ref="E107:F107"/>
    <mergeCell ref="C118:D118"/>
    <mergeCell ref="E118:F118"/>
    <mergeCell ref="C119:F119"/>
    <mergeCell ref="C120:D120"/>
    <mergeCell ref="E121:F121"/>
    <mergeCell ref="C132:D132"/>
    <mergeCell ref="E132:F132"/>
    <mergeCell ref="C133:F133"/>
    <mergeCell ref="C134:D134"/>
    <mergeCell ref="E135:F135"/>
    <mergeCell ref="C146:D146"/>
    <mergeCell ref="E146:F146"/>
    <mergeCell ref="C147:F147"/>
    <mergeCell ref="C148:D148"/>
    <mergeCell ref="E149:F149"/>
    <mergeCell ref="C160:D160"/>
    <mergeCell ref="E160:F160"/>
    <mergeCell ref="C161:F161"/>
    <mergeCell ref="C162:D162"/>
    <mergeCell ref="E163:F163"/>
    <mergeCell ref="C174:D174"/>
    <mergeCell ref="E174:F174"/>
    <mergeCell ref="C175:F175"/>
    <mergeCell ref="C176:D176"/>
    <mergeCell ref="E177:F177"/>
    <mergeCell ref="C188:D188"/>
    <mergeCell ref="E188:F188"/>
    <mergeCell ref="C189:F189"/>
    <mergeCell ref="C190:D190"/>
    <mergeCell ref="E191:F191"/>
    <mergeCell ref="C202:D202"/>
    <mergeCell ref="E202:F202"/>
    <mergeCell ref="C203:F203"/>
    <mergeCell ref="C204:D204"/>
    <mergeCell ref="E205:F205"/>
  </mergeCells>
  <conditionalFormatting sqref="A1:G1">
    <cfRule type="expression" dxfId="75" priority="1">
      <formula>$O$1="FILL"</formula>
    </cfRule>
    <cfRule type="expression" dxfId="76" priority="2">
      <formula>$O$1="SKIP"</formula>
    </cfRule>
    <cfRule type="expression" dxfId="77" priority="3">
      <formula>$O$1=""</formula>
    </cfRule>
  </conditionalFormatting>
  <conditionalFormatting sqref="G3:G214">
    <cfRule type="expression" dxfId="78" priority="1">
      <formula>LEFT(G3,1)="⚠"</formula>
    </cfRule>
    <cfRule type="expression" dxfId="79" priority="2">
      <formula>LEFT(G3,1)="✓"</formula>
    </cfRule>
  </conditionalFormatting>
  <conditionalFormatting sqref="C3:F214">
    <cfRule type="expression" dxfId="80" priority="1">
      <formula>$O$1="SKIP"</formula>
    </cfRule>
  </conditionalFormatting>
  <dataValidations count="121">
    <dataValidation type="list" allowBlank="1" showInputMessage="1" prompt="Pick from the RepLab exercise library (type to search). Library exercises come with demo videos." showErrorMessage="1" errorStyle="stop" errorTitle="Pick from the list" error="Choose one of the options in the dropdown." sqref="C105">
      <formula1>'Exercise Library'!$B$2:$B$319</formula1>
    </dataValidation>
    <dataValidation type="textLength" operator="lessThanOrEqual" allowBlank="1" showErrorMessage="1" error="200 characters or fewer." sqref="C106">
      <formula1>200</formula1>
    </dataValidation>
    <dataValidation type="list" allowBlank="1" showInputMessage="1" prompt="Same letter = same superset" showErrorMessage="1" errorStyle="stop" errorTitle="Pick from the list" error="Choose one of the options in the dropdown." sqref="C107">
      <formula1>Lists!$E$2:$E$11</formula1>
    </dataValidation>
    <dataValidation type="list" allowBlank="1" showErrorMessage="1" errorStyle="stop" errorTitle="Pick from the list" error="Choose one of the options in the dropdown." sqref="C109:C11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19">
      <formula1>'Exercise Library'!$B$2:$B$319</formula1>
    </dataValidation>
    <dataValidation type="list" allowBlank="1" showErrorMessage="1" errorStyle="stop" errorTitle="Pick from the list" error="Choose one of the options in the dropdown." sqref="C11:C18">
      <formula1>Lists!$B$2:$B$9</formula1>
    </dataValidation>
    <dataValidation type="textLength" operator="lessThanOrEqual" allowBlank="1" showErrorMessage="1" error="200 characters or fewer." sqref="C120">
      <formula1>200</formula1>
    </dataValidation>
    <dataValidation type="list" allowBlank="1" showInputMessage="1" prompt="Same letter = same superset" showErrorMessage="1" errorStyle="stop" errorTitle="Pick from the list" error="Choose one of the options in the dropdown." sqref="C121">
      <formula1>Lists!$E$2:$E$11</formula1>
    </dataValidation>
    <dataValidation type="list" allowBlank="1" showErrorMessage="1" errorStyle="stop" errorTitle="Pick from the list" error="Choose one of the options in the dropdown." sqref="C123:C13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33">
      <formula1>'Exercise Library'!$B$2:$B$319</formula1>
    </dataValidation>
    <dataValidation type="textLength" operator="lessThanOrEqual" allowBlank="1" showErrorMessage="1" error="200 characters or fewer." sqref="C134">
      <formula1>200</formula1>
    </dataValidation>
    <dataValidation type="list" allowBlank="1" showInputMessage="1" prompt="Same letter = same superset" showErrorMessage="1" errorStyle="stop" errorTitle="Pick from the list" error="Choose one of the options in the dropdown." sqref="C135">
      <formula1>Lists!$E$2:$E$11</formula1>
    </dataValidation>
    <dataValidation type="list" allowBlank="1" showErrorMessage="1" errorStyle="stop" errorTitle="Pick from the list" error="Choose one of the options in the dropdown." sqref="C137:C14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47">
      <formula1>'Exercise Library'!$B$2:$B$319</formula1>
    </dataValidation>
    <dataValidation type="textLength" operator="lessThanOrEqual" allowBlank="1" showErrorMessage="1" error="200 characters or fewer." sqref="C148">
      <formula1>200</formula1>
    </dataValidation>
    <dataValidation type="list" allowBlank="1" showInputMessage="1" prompt="Same letter = same superset" showErrorMessage="1" errorStyle="stop" errorTitle="Pick from the list" error="Choose one of the options in the dropdown." sqref="C149">
      <formula1>Lists!$E$2:$E$11</formula1>
    </dataValidation>
    <dataValidation type="list" allowBlank="1" showErrorMessage="1" errorStyle="stop" errorTitle="Pick from the list" error="Choose one of the options in the dropdown." sqref="C151:C158">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61">
      <formula1>'Exercise Library'!$B$2:$B$319</formula1>
    </dataValidation>
    <dataValidation type="textLength" operator="lessThanOrEqual" allowBlank="1" showErrorMessage="1" error="200 characters or fewer." sqref="C162">
      <formula1>200</formula1>
    </dataValidation>
    <dataValidation type="list" allowBlank="1" showInputMessage="1" prompt="Same letter = same superset" showErrorMessage="1" errorStyle="stop" errorTitle="Pick from the list" error="Choose one of the options in the dropdown." sqref="C163">
      <formula1>Lists!$E$2:$E$11</formula1>
    </dataValidation>
    <dataValidation type="list" allowBlank="1" showErrorMessage="1" errorStyle="stop" errorTitle="Pick from the list" error="Choose one of the options in the dropdown." sqref="C165:C172">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75">
      <formula1>'Exercise Library'!$B$2:$B$319</formula1>
    </dataValidation>
    <dataValidation type="textLength" operator="lessThanOrEqual" allowBlank="1" showErrorMessage="1" error="200 characters or fewer." sqref="C176">
      <formula1>200</formula1>
    </dataValidation>
    <dataValidation type="list" allowBlank="1" showInputMessage="1" prompt="Same letter = same superset" showErrorMessage="1" errorStyle="stop" errorTitle="Pick from the list" error="Choose one of the options in the dropdown." sqref="C177">
      <formula1>Lists!$E$2:$E$11</formula1>
    </dataValidation>
    <dataValidation type="list" allowBlank="1" showErrorMessage="1" errorStyle="stop" errorTitle="Pick from the list" error="Choose one of the options in the dropdown." sqref="C179:C18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189">
      <formula1>'Exercise Library'!$B$2:$B$319</formula1>
    </dataValidation>
    <dataValidation type="textLength" operator="lessThanOrEqual" allowBlank="1" showErrorMessage="1" error="200 characters or fewer." sqref="C190">
      <formula1>200</formula1>
    </dataValidation>
    <dataValidation type="list" allowBlank="1" showInputMessage="1" prompt="Same letter = same superset" showErrorMessage="1" errorStyle="stop" errorTitle="Pick from the list" error="Choose one of the options in the dropdown." sqref="C191">
      <formula1>Lists!$E$2:$E$11</formula1>
    </dataValidation>
    <dataValidation type="list" allowBlank="1" showErrorMessage="1" errorStyle="stop" errorTitle="Pick from the list" error="Choose one of the options in the dropdown." sqref="C193:C20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03">
      <formula1>'Exercise Library'!$B$2:$B$319</formula1>
    </dataValidation>
    <dataValidation type="textLength" operator="lessThanOrEqual" allowBlank="1" showErrorMessage="1" error="200 characters or fewer." sqref="C204">
      <formula1>200</formula1>
    </dataValidation>
    <dataValidation type="list" allowBlank="1" showInputMessage="1" prompt="Same letter = same superset" showErrorMessage="1" errorStyle="stop" errorTitle="Pick from the list" error="Choose one of the options in the dropdown." sqref="C205">
      <formula1>Lists!$E$2:$E$11</formula1>
    </dataValidation>
    <dataValidation type="list" allowBlank="1" showErrorMessage="1" errorStyle="stop" errorTitle="Pick from the list" error="Choose one of the options in the dropdown." sqref="C207:C21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21">
      <formula1>'Exercise Library'!$B$2:$B$319</formula1>
    </dataValidation>
    <dataValidation type="textLength" operator="lessThanOrEqual" allowBlank="1" showErrorMessage="1" error="200 characters or fewer." sqref="C22">
      <formula1>200</formula1>
    </dataValidation>
    <dataValidation type="list" allowBlank="1" showInputMessage="1" prompt="Same letter = same superset" showErrorMessage="1" errorStyle="stop" errorTitle="Pick from the list" error="Choose one of the options in the dropdown." sqref="C23">
      <formula1>Lists!$E$2:$E$11</formula1>
    </dataValidation>
    <dataValidation type="list" allowBlank="1" showErrorMessage="1" errorStyle="stop" errorTitle="Pick from the list" error="Choose one of the options in the dropdown." sqref="C25:C32">
      <formula1>Lists!$B$2:$B$9</formula1>
    </dataValidation>
    <dataValidation type="textLength" operator="lessThanOrEqual" allowBlank="1" showErrorMessage="1" error="200 characters or fewer." sqref="C3">
      <formula1>200</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35">
      <formula1>'Exercise Library'!$B$2:$B$319</formula1>
    </dataValidation>
    <dataValidation type="textLength" operator="lessThanOrEqual" allowBlank="1" showErrorMessage="1" error="200 characters or fewer." sqref="C36">
      <formula1>200</formula1>
    </dataValidation>
    <dataValidation type="list" allowBlank="1" showInputMessage="1" prompt="Same letter = same superset" showErrorMessage="1" errorStyle="stop" errorTitle="Pick from the list" error="Choose one of the options in the dropdown." sqref="C37">
      <formula1>Lists!$E$2:$E$11</formula1>
    </dataValidation>
    <dataValidation type="list" allowBlank="1" showErrorMessage="1" errorStyle="stop" errorTitle="Pick from the list" error="Choose one of the options in the dropdown." sqref="C39:C46">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49">
      <formula1>'Exercise Library'!$B$2:$B$319</formula1>
    </dataValidation>
    <dataValidation type="textLength" operator="lessThanOrEqual" allowBlank="1" showErrorMessage="1" error="200 characters or fewer." sqref="C50">
      <formula1>200</formula1>
    </dataValidation>
    <dataValidation type="list" allowBlank="1" showInputMessage="1" prompt="Same letter = same superset" showErrorMessage="1" errorStyle="stop" errorTitle="Pick from the list" error="Choose one of the options in the dropdown." sqref="C51">
      <formula1>Lists!$E$2:$E$11</formula1>
    </dataValidation>
    <dataValidation type="list" allowBlank="1" showErrorMessage="1" errorStyle="stop" errorTitle="Pick from the list" error="Choose one of the options in the dropdown." sqref="C53:C60">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63">
      <formula1>'Exercise Library'!$B$2:$B$319</formula1>
    </dataValidation>
    <dataValidation type="textLength" operator="lessThanOrEqual" allowBlank="1" showErrorMessage="1" error="200 characters or fewer." sqref="C64">
      <formula1>200</formula1>
    </dataValidation>
    <dataValidation type="list" allowBlank="1" showInputMessage="1" prompt="Same letter = same superset" showErrorMessage="1" errorStyle="stop" errorTitle="Pick from the list" error="Choose one of the options in the dropdown." sqref="C65">
      <formula1>Lists!$E$2:$E$11</formula1>
    </dataValidation>
    <dataValidation type="list" allowBlank="1" showErrorMessage="1" errorStyle="stop" errorTitle="Pick from the list" error="Choose one of the options in the dropdown." sqref="C67:C74">
      <formula1>Lists!$B$2:$B$9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
      <formula1>'Exercise Library'!$B$2:$B$319</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77">
      <formula1>'Exercise Library'!$B$2:$B$319</formula1>
    </dataValidation>
    <dataValidation type="textLength" operator="lessThanOrEqual" allowBlank="1" showErrorMessage="1" error="200 characters or fewer." sqref="C78">
      <formula1>200</formula1>
    </dataValidation>
    <dataValidation type="list" allowBlank="1" showInputMessage="1" prompt="Same letter = same superset" showErrorMessage="1" errorStyle="stop" errorTitle="Pick from the list" error="Choose one of the options in the dropdown." sqref="C79">
      <formula1>Lists!$E$2:$E$11</formula1>
    </dataValidation>
    <dataValidation type="textLength" operator="lessThanOrEqual" allowBlank="1" showErrorMessage="1" error="200 characters or fewer." sqref="C8">
      <formula1>200</formula1>
    </dataValidation>
    <dataValidation type="list" allowBlank="1" showErrorMessage="1" errorStyle="stop" errorTitle="Pick from the list" error="Choose one of the options in the dropdown." sqref="C81:C88">
      <formula1>Lists!$B$2:$B$9</formula1>
    </dataValidation>
    <dataValidation type="list" allowBlank="1" showInputMessage="1" prompt="Same letter = same superset" showErrorMessage="1" errorStyle="stop" errorTitle="Pick from the list" error="Choose one of the options in the dropdown." sqref="C9">
      <formula1>Lists!$E$2:$E$11</formula1>
    </dataValidation>
    <dataValidation type="list" allowBlank="1" showInputMessage="1" prompt="Pick from the RepLab exercise library (type to search). Library exercises come with demo videos." showErrorMessage="1" errorStyle="stop" errorTitle="Pick from the list" error="Choose one of the options in the dropdown." sqref="C91">
      <formula1>'Exercise Library'!$B$2:$B$319</formula1>
    </dataValidation>
    <dataValidation type="textLength" operator="lessThanOrEqual" allowBlank="1" showErrorMessage="1" error="200 characters or fewer." sqref="C92">
      <formula1>200</formula1>
    </dataValidation>
    <dataValidation type="list" allowBlank="1" showInputMessage="1" prompt="Same letter = same superset" showErrorMessage="1" errorStyle="stop" errorTitle="Pick from the list" error="Choose one of the options in the dropdown." sqref="C93">
      <formula1>Lists!$E$2:$E$11</formula1>
    </dataValidation>
    <dataValidation type="list" allowBlank="1" showErrorMessage="1" errorStyle="stop" errorTitle="Pick from the list" error="Choose one of the options in the dropdown." sqref="C95:C102">
      <formula1>Lists!$B$2:$B$9</formula1>
    </dataValidation>
    <dataValidation type="decimal" allowBlank="1" showErrorMessage="1" error="Goal weight: a number from 0 to 2000 (lbs)." sqref="D109:D116">
      <formula1>0</formula1>
      <formula2>2000</formula2>
    </dataValidation>
    <dataValidation type="decimal" allowBlank="1" showErrorMessage="1" error="Goal weight: a number from 0 to 2000 (lbs)." sqref="D11:D18">
      <formula1>0</formula1>
      <formula2>2000</formula2>
    </dataValidation>
    <dataValidation type="decimal" allowBlank="1" showErrorMessage="1" error="Goal weight: a number from 0 to 2000 (lbs)." sqref="D123:D130">
      <formula1>0</formula1>
      <formula2>2000</formula2>
    </dataValidation>
    <dataValidation type="decimal" allowBlank="1" showErrorMessage="1" error="Goal weight: a number from 0 to 2000 (lbs)." sqref="D137:D144">
      <formula1>0</formula1>
      <formula2>2000</formula2>
    </dataValidation>
    <dataValidation type="decimal" allowBlank="1" showErrorMessage="1" error="Goal weight: a number from 0 to 2000 (lbs)." sqref="D151:D158">
      <formula1>0</formula1>
      <formula2>2000</formula2>
    </dataValidation>
    <dataValidation type="decimal" allowBlank="1" showErrorMessage="1" error="Goal weight: a number from 0 to 2000 (lbs)." sqref="D165:D172">
      <formula1>0</formula1>
      <formula2>2000</formula2>
    </dataValidation>
    <dataValidation type="decimal" allowBlank="1" showErrorMessage="1" error="Goal weight: a number from 0 to 2000 (lbs)." sqref="D179:D186">
      <formula1>0</formula1>
      <formula2>2000</formula2>
    </dataValidation>
    <dataValidation type="decimal" allowBlank="1" showErrorMessage="1" error="Goal weight: a number from 0 to 2000 (lbs)." sqref="D193:D200">
      <formula1>0</formula1>
      <formula2>2000</formula2>
    </dataValidation>
    <dataValidation type="decimal" allowBlank="1" showErrorMessage="1" error="Goal weight: a number from 0 to 2000 (lbs)." sqref="D207:D214">
      <formula1>0</formula1>
      <formula2>2000</formula2>
    </dataValidation>
    <dataValidation type="decimal" allowBlank="1" showErrorMessage="1" error="Goal weight: a number from 0 to 2000 (lbs)." sqref="D25:D32">
      <formula1>0</formula1>
      <formula2>2000</formula2>
    </dataValidation>
    <dataValidation type="decimal" allowBlank="1" showErrorMessage="1" error="Goal weight: a number from 0 to 2000 (lbs)." sqref="D39:D46">
      <formula1>0</formula1>
      <formula2>2000</formula2>
    </dataValidation>
    <dataValidation type="decimal" allowBlank="1" showErrorMessage="1" error="Goal weight: a number from 0 to 2000 (lbs)." sqref="D53:D60">
      <formula1>0</formula1>
      <formula2>2000</formula2>
    </dataValidation>
    <dataValidation type="decimal" allowBlank="1" showErrorMessage="1" error="Goal weight: a number from 0 to 2000 (lbs)." sqref="D67:D74">
      <formula1>0</formula1>
      <formula2>2000</formula2>
    </dataValidation>
    <dataValidation type="decimal" allowBlank="1" showErrorMessage="1" error="Goal weight: a number from 0 to 2000 (lbs)." sqref="D81:D88">
      <formula1>0</formula1>
      <formula2>2000</formula2>
    </dataValidation>
    <dataValidation type="decimal" allowBlank="1" showErrorMessage="1" error="Goal weight: a number from 0 to 2000 (lbs)." sqref="D95:D102">
      <formula1>0</formula1>
      <formula2>2000</formula2>
    </dataValidation>
    <dataValidation type="list" allowBlank="1" showInputMessage="1" prompt="Muscle group for the custom exercise" showErrorMessage="1" errorStyle="stop" errorTitle="Pick from the list" error="Choose one of the options in the dropdown." sqref="E106">
      <formula1>Lists!$D$2:$D$15</formula1>
    </dataValidation>
    <dataValidation type="whole" allowBlank="1" showErrorMessage="1" error="Goal reps: a whole number from 0 to 100." sqref="E109:E116">
      <formula1>0</formula1>
      <formula2>100</formula2>
    </dataValidation>
    <dataValidation type="whole" allowBlank="1" showErrorMessage="1" error="Goal reps: a whole number from 0 to 100." sqref="E11:E18">
      <formula1>0</formula1>
      <formula2>100</formula2>
    </dataValidation>
    <dataValidation type="list" allowBlank="1" showInputMessage="1" prompt="Muscle group for the custom exercise" showErrorMessage="1" errorStyle="stop" errorTitle="Pick from the list" error="Choose one of the options in the dropdown." sqref="E120">
      <formula1>Lists!$D$2:$D$15</formula1>
    </dataValidation>
    <dataValidation type="whole" allowBlank="1" showErrorMessage="1" error="Goal reps: a whole number from 0 to 100." sqref="E123:E130">
      <formula1>0</formula1>
      <formula2>100</formula2>
    </dataValidation>
    <dataValidation type="list" allowBlank="1" showInputMessage="1" prompt="Muscle group for the custom exercise" showErrorMessage="1" errorStyle="stop" errorTitle="Pick from the list" error="Choose one of the options in the dropdown." sqref="E134">
      <formula1>Lists!$D$2:$D$15</formula1>
    </dataValidation>
    <dataValidation type="whole" allowBlank="1" showErrorMessage="1" error="Goal reps: a whole number from 0 to 100." sqref="E137:E144">
      <formula1>0</formula1>
      <formula2>100</formula2>
    </dataValidation>
    <dataValidation type="list" allowBlank="1" showInputMessage="1" prompt="Muscle group for the custom exercise" showErrorMessage="1" errorStyle="stop" errorTitle="Pick from the list" error="Choose one of the options in the dropdown." sqref="E148">
      <formula1>Lists!$D$2:$D$15</formula1>
    </dataValidation>
    <dataValidation type="whole" allowBlank="1" showErrorMessage="1" error="Goal reps: a whole number from 0 to 100." sqref="E151:E158">
      <formula1>0</formula1>
      <formula2>100</formula2>
    </dataValidation>
    <dataValidation type="list" allowBlank="1" showInputMessage="1" prompt="Muscle group for the custom exercise" showErrorMessage="1" errorStyle="stop" errorTitle="Pick from the list" error="Choose one of the options in the dropdown." sqref="E162">
      <formula1>Lists!$D$2:$D$15</formula1>
    </dataValidation>
    <dataValidation type="whole" allowBlank="1" showErrorMessage="1" error="Goal reps: a whole number from 0 to 100." sqref="E165:E172">
      <formula1>0</formula1>
      <formula2>100</formula2>
    </dataValidation>
    <dataValidation type="list" allowBlank="1" showInputMessage="1" prompt="Muscle group for the custom exercise" showErrorMessage="1" errorStyle="stop" errorTitle="Pick from the list" error="Choose one of the options in the dropdown." sqref="E176">
      <formula1>Lists!$D$2:$D$15</formula1>
    </dataValidation>
    <dataValidation type="whole" allowBlank="1" showErrorMessage="1" error="Goal reps: a whole number from 0 to 100." sqref="E179:E186">
      <formula1>0</formula1>
      <formula2>100</formula2>
    </dataValidation>
    <dataValidation type="list" allowBlank="1" showInputMessage="1" prompt="Muscle group for the custom exercise" showErrorMessage="1" errorStyle="stop" errorTitle="Pick from the list" error="Choose one of the options in the dropdown." sqref="E190">
      <formula1>Lists!$D$2:$D$15</formula1>
    </dataValidation>
    <dataValidation type="whole" allowBlank="1" showErrorMessage="1" error="Goal reps: a whole number from 0 to 100." sqref="E193:E200">
      <formula1>0</formula1>
      <formula2>100</formula2>
    </dataValidation>
    <dataValidation type="list" allowBlank="1" showInputMessage="1" prompt="Muscle group for the custom exercise" showErrorMessage="1" errorStyle="stop" errorTitle="Pick from the list" error="Choose one of the options in the dropdown." sqref="E204">
      <formula1>Lists!$D$2:$D$15</formula1>
    </dataValidation>
    <dataValidation type="whole" allowBlank="1" showErrorMessage="1" error="Goal reps: a whole number from 0 to 100." sqref="E207:E214">
      <formula1>0</formula1>
      <formula2>100</formula2>
    </dataValidation>
    <dataValidation type="list" allowBlank="1" showInputMessage="1" prompt="Muscle group for the custom exercise" showErrorMessage="1" errorStyle="stop" errorTitle="Pick from the list" error="Choose one of the options in the dropdown." sqref="E22">
      <formula1>Lists!$D$2:$D$15</formula1>
    </dataValidation>
    <dataValidation type="whole" allowBlank="1" showErrorMessage="1" error="Goal reps: a whole number from 0 to 100." sqref="E25:E32">
      <formula1>0</formula1>
      <formula2>100</formula2>
    </dataValidation>
    <dataValidation type="list" allowBlank="1" showInputMessage="1" prompt="Muscle group for the custom exercise" showErrorMessage="1" errorStyle="stop" errorTitle="Pick from the list" error="Choose one of the options in the dropdown." sqref="E36">
      <formula1>Lists!$D$2:$D$15</formula1>
    </dataValidation>
    <dataValidation type="whole" allowBlank="1" showErrorMessage="1" error="Goal reps: a whole number from 0 to 100." sqref="E39:E46">
      <formula1>0</formula1>
      <formula2>100</formula2>
    </dataValidation>
    <dataValidation type="list" allowBlank="1" showInputMessage="1" prompt="Muscle group for the custom exercise" showErrorMessage="1" errorStyle="stop" errorTitle="Pick from the list" error="Choose one of the options in the dropdown." sqref="E50">
      <formula1>Lists!$D$2:$D$15</formula1>
    </dataValidation>
    <dataValidation type="whole" allowBlank="1" showErrorMessage="1" error="Goal reps: a whole number from 0 to 100." sqref="E53:E60">
      <formula1>0</formula1>
      <formula2>100</formula2>
    </dataValidation>
    <dataValidation type="list" allowBlank="1" showInputMessage="1" prompt="Muscle group for the custom exercise" showErrorMessage="1" errorStyle="stop" errorTitle="Pick from the list" error="Choose one of the options in the dropdown." sqref="E64">
      <formula1>Lists!$D$2:$D$15</formula1>
    </dataValidation>
    <dataValidation type="whole" allowBlank="1" showErrorMessage="1" error="Goal reps: a whole number from 0 to 100." sqref="E67:E74">
      <formula1>0</formula1>
      <formula2>100</formula2>
    </dataValidation>
    <dataValidation type="list" allowBlank="1" showInputMessage="1" prompt="Muscle group for the custom exercise" showErrorMessage="1" errorStyle="stop" errorTitle="Pick from the list" error="Choose one of the options in the dropdown." sqref="E78">
      <formula1>Lists!$D$2:$D$15</formula1>
    </dataValidation>
    <dataValidation type="list" allowBlank="1" showInputMessage="1" prompt="Muscle group for the custom exercise" showErrorMessage="1" errorStyle="stop" errorTitle="Pick from the list" error="Choose one of the options in the dropdown." sqref="E8">
      <formula1>Lists!$D$2:$D$15</formula1>
    </dataValidation>
    <dataValidation type="whole" allowBlank="1" showErrorMessage="1" error="Goal reps: a whole number from 0 to 100." sqref="E81:E88">
      <formula1>0</formula1>
      <formula2>100</formula2>
    </dataValidation>
    <dataValidation type="list" allowBlank="1" showInputMessage="1" prompt="Muscle group for the custom exercise" showErrorMessage="1" errorStyle="stop" errorTitle="Pick from the list" error="Choose one of the options in the dropdown." sqref="E92">
      <formula1>Lists!$D$2:$D$15</formula1>
    </dataValidation>
    <dataValidation type="whole" allowBlank="1" showErrorMessage="1" error="Goal reps: a whole number from 0 to 100." sqref="E95:E102">
      <formula1>0</formula1>
      <formula2>100</formula2>
    </dataValidation>
    <dataValidation type="textLength" operator="lessThanOrEqual" allowBlank="1" showErrorMessage="1" error="Keep the rep range short, e.g. 8-12." sqref="F109:F116">
      <formula1>20</formula1>
    </dataValidation>
    <dataValidation type="textLength" operator="lessThanOrEqual" allowBlank="1" showErrorMessage="1" error="Keep the rep range short, e.g. 8-12." sqref="F11:F18">
      <formula1>20</formula1>
    </dataValidation>
    <dataValidation type="textLength" operator="lessThanOrEqual" allowBlank="1" showErrorMessage="1" error="Keep the rep range short, e.g. 8-12." sqref="F123:F130">
      <formula1>20</formula1>
    </dataValidation>
    <dataValidation type="textLength" operator="lessThanOrEqual" allowBlank="1" showErrorMessage="1" error="Keep the rep range short, e.g. 8-12." sqref="F137:F144">
      <formula1>20</formula1>
    </dataValidation>
    <dataValidation type="textLength" operator="lessThanOrEqual" allowBlank="1" showErrorMessage="1" error="Keep the rep range short, e.g. 8-12." sqref="F151:F158">
      <formula1>20</formula1>
    </dataValidation>
    <dataValidation type="textLength" operator="lessThanOrEqual" allowBlank="1" showErrorMessage="1" error="Keep the rep range short, e.g. 8-12." sqref="F165:F172">
      <formula1>20</formula1>
    </dataValidation>
    <dataValidation type="textLength" operator="lessThanOrEqual" allowBlank="1" showErrorMessage="1" error="Keep the rep range short, e.g. 8-12." sqref="F179:F186">
      <formula1>20</formula1>
    </dataValidation>
    <dataValidation type="textLength" operator="lessThanOrEqual" allowBlank="1" showErrorMessage="1" error="Keep the rep range short, e.g. 8-12." sqref="F193:F200">
      <formula1>20</formula1>
    </dataValidation>
    <dataValidation type="textLength" operator="lessThanOrEqual" allowBlank="1" showErrorMessage="1" error="Keep the rep range short, e.g. 8-12." sqref="F207:F214">
      <formula1>20</formula1>
    </dataValidation>
    <dataValidation type="textLength" operator="lessThanOrEqual" allowBlank="1" showErrorMessage="1" error="Keep the rep range short, e.g. 8-12." sqref="F25:F32">
      <formula1>20</formula1>
    </dataValidation>
    <dataValidation type="textLength" operator="lessThanOrEqual" allowBlank="1" showErrorMessage="1" error="Keep the rep range short, e.g. 8-12." sqref="F39:F46">
      <formula1>20</formula1>
    </dataValidation>
    <dataValidation type="textLength" operator="lessThanOrEqual" allowBlank="1" showErrorMessage="1" error="Keep the rep range short, e.g. 8-12." sqref="F53:F60">
      <formula1>20</formula1>
    </dataValidation>
    <dataValidation type="textLength" operator="lessThanOrEqual" allowBlank="1" showErrorMessage="1" error="Keep the rep range short, e.g. 8-12." sqref="F67:F74">
      <formula1>20</formula1>
    </dataValidation>
    <dataValidation type="textLength" operator="lessThanOrEqual" allowBlank="1" showErrorMessage="1" error="Keep the rep range short, e.g. 8-12." sqref="F81:F88">
      <formula1>20</formula1>
    </dataValidation>
    <dataValidation type="textLength" operator="lessThanOrEqual" allowBlank="1" showErrorMessage="1" error="Keep the rep range short, e.g. 8-12." sqref="F95:F102">
      <formula1>20</formula1>
    </dataValidation>
  </dataValidations>
  <pageMargins left="0.7" right="0.7" top="0.75" bottom="0.75" header="0.3" footer="0.3"/>
  <pageSetup orientation="portrait" horizontalDpi="4294967295" verticalDpi="4294967295" scale="100" fitToWidth="1" fitToHeight="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B4FA0"/>
  </sheetPr>
  <dimension ref="A1:P57"/>
  <sheetViews>
    <sheetView workbookViewId="0" showGridLines="0">
      <pane ySplit="5" topLeftCell="A6" activePane="bottomLeft" state="frozen"/>
      <selection pane="bottomLeft"/>
    </sheetView>
  </sheetViews>
  <sheetFormatPr defaultRowHeight="15" outlineLevelRow="0" outlineLevelCol="0" x14ac:dyDescent="55"/>
  <cols>
    <col min="1" max="1" width="10" customWidth="1"/>
    <col min="2" max="8" width="16" customWidth="1"/>
    <col min="9" max="9" width="40" customWidth="1"/>
    <col min="14" max="14" width="9" hidden="1" customWidth="1"/>
    <col min="15" max="15" width="9" hidden="1" customWidth="1"/>
    <col min="16" max="16" width="9" hidden="1" customWidth="1"/>
  </cols>
  <sheetData>
    <row r="1" ht="30" customHeight="1" spans="1:16" x14ac:dyDescent="0.25">
      <c r="A1" s="14">
        <f>IF($O$1="FILL","✅  FILL OUT THIS SHEET — weeks 1 to "&amp;$P$1,IF($O$1="SKIP","⛔  NOT NEEDED for a single workout","Start on the Start sheet: answer question 1 first"))</f>
      </c>
      <c r="B1" s="14"/>
      <c r="C1" s="14"/>
      <c r="D1" s="14"/>
      <c r="E1" s="14"/>
      <c r="F1" s="14"/>
      <c r="G1" s="14"/>
      <c r="H1" s="14"/>
      <c r="I1" s="14"/>
      <c r="O1">
        <f>IF(Start!$C$4="Program","FILL",IF(Start!$C$4="Single Workout","SKIP",""))</f>
      </c>
      <c r="P1">
        <f>IF(Start!$C$4="Program",N(Start!$C$8),0)</f>
      </c>
    </row>
    <row r="2" spans="15:15" x14ac:dyDescent="0.25">
      <c r="O2">
        <f>IF($O$1="FILL",COUNTIF($I$6:$I$57,"⚠*"),0)</f>
      </c>
    </row>
    <row r="3" ht="30" customHeight="1" spans="1:9" x14ac:dyDescent="0.25">
      <c r="A3" s="25" t="s">
        <v>69</v>
      </c>
      <c r="B3" s="25"/>
      <c r="C3" s="25"/>
      <c r="D3" s="25"/>
      <c r="E3" s="25"/>
      <c r="F3" s="25"/>
      <c r="G3" s="25"/>
      <c r="H3" s="25"/>
      <c r="I3" s="25"/>
    </row>
    <row r="5" ht="32" customHeight="1" spans="1:9" x14ac:dyDescent="0.25">
      <c r="A5" s="7" t="s">
        <v>70</v>
      </c>
      <c r="B5" s="7" t="s">
        <v>71</v>
      </c>
      <c r="C5" s="7" t="s">
        <v>72</v>
      </c>
      <c r="D5" s="7" t="s">
        <v>73</v>
      </c>
      <c r="E5" s="7" t="s">
        <v>74</v>
      </c>
      <c r="F5" s="7" t="s">
        <v>75</v>
      </c>
      <c r="G5" s="7" t="s">
        <v>76</v>
      </c>
      <c r="H5" s="7" t="s">
        <v>77</v>
      </c>
      <c r="I5" s="7" t="s">
        <v>78</v>
      </c>
    </row>
    <row r="6" spans="1:9" x14ac:dyDescent="0.25">
      <c r="A6" s="26">
        <v>1</v>
      </c>
      <c r="B6" s="22"/>
      <c r="C6" s="22"/>
      <c r="D6" s="22"/>
      <c r="E6" s="22"/>
      <c r="F6" s="22"/>
      <c r="G6" s="22"/>
      <c r="H6" s="22"/>
      <c r="I6" s="27">
        <f>IFERROR(IF($O$1&lt;&gt;"FILL","",IF($A6&gt;$P$1,IF(COUNTA($B6:$H6)&gt;0,"⚠ Past the program length — clear it or raise question 5",""),IF(COUNTA($B6:$H6)&lt;7,"⚠ Fill all 7 days (use REST for rest days)",IF(((COUNTIF(Lists!$A$2:$A$14,$B6)=0)+(COUNTIF(Lists!$A$2:$A$14,$C6)=0)+(COUNTIF(Lists!$A$2:$A$14,$D6)=0)+(COUNTIF(Lists!$A$2:$A$14,$E6)=0)+(COUNTIF(Lists!$A$2:$A$14,$F6)=0)+(COUNTIF(Lists!$A$2:$A$14,$G6)=0)+(COUNTIF(Lists!$A$2:$A$14,$H6)=0))&gt;0,"⚠ Unknown workout name — pick from the dropdown","✓")))),"⚠ Check this row")</f>
      </c>
    </row>
    <row r="7" spans="1:9" x14ac:dyDescent="0.25">
      <c r="A7" s="26">
        <v>2</v>
      </c>
      <c r="B7" s="22"/>
      <c r="C7" s="22"/>
      <c r="D7" s="22"/>
      <c r="E7" s="22"/>
      <c r="F7" s="22"/>
      <c r="G7" s="22"/>
      <c r="H7" s="22"/>
      <c r="I7" s="27">
        <f>IFERROR(IF($O$1&lt;&gt;"FILL","",IF($A7&gt;$P$1,IF(COUNTA($B7:$H7)&gt;0,"⚠ Past the program length — clear it or raise question 5",""),IF(COUNTA($B7:$H7)&lt;7,"⚠ Fill all 7 days (use REST for rest days)",IF(((COUNTIF(Lists!$A$2:$A$14,$B7)=0)+(COUNTIF(Lists!$A$2:$A$14,$C7)=0)+(COUNTIF(Lists!$A$2:$A$14,$D7)=0)+(COUNTIF(Lists!$A$2:$A$14,$E7)=0)+(COUNTIF(Lists!$A$2:$A$14,$F7)=0)+(COUNTIF(Lists!$A$2:$A$14,$G7)=0)+(COUNTIF(Lists!$A$2:$A$14,$H7)=0))&gt;0,"⚠ Unknown workout name — pick from the dropdown","✓")))),"⚠ Check this row")</f>
      </c>
    </row>
    <row r="8" spans="1:9" x14ac:dyDescent="0.25">
      <c r="A8" s="26">
        <v>3</v>
      </c>
      <c r="B8" s="22"/>
      <c r="C8" s="22"/>
      <c r="D8" s="22"/>
      <c r="E8" s="22"/>
      <c r="F8" s="22"/>
      <c r="G8" s="22"/>
      <c r="H8" s="22"/>
      <c r="I8" s="27">
        <f>IFERROR(IF($O$1&lt;&gt;"FILL","",IF($A8&gt;$P$1,IF(COUNTA($B8:$H8)&gt;0,"⚠ Past the program length — clear it or raise question 5",""),IF(COUNTA($B8:$H8)&lt;7,"⚠ Fill all 7 days (use REST for rest days)",IF(((COUNTIF(Lists!$A$2:$A$14,$B8)=0)+(COUNTIF(Lists!$A$2:$A$14,$C8)=0)+(COUNTIF(Lists!$A$2:$A$14,$D8)=0)+(COUNTIF(Lists!$A$2:$A$14,$E8)=0)+(COUNTIF(Lists!$A$2:$A$14,$F8)=0)+(COUNTIF(Lists!$A$2:$A$14,$G8)=0)+(COUNTIF(Lists!$A$2:$A$14,$H8)=0))&gt;0,"⚠ Unknown workout name — pick from the dropdown","✓")))),"⚠ Check this row")</f>
      </c>
    </row>
    <row r="9" spans="1:9" x14ac:dyDescent="0.25">
      <c r="A9" s="26">
        <v>4</v>
      </c>
      <c r="B9" s="22"/>
      <c r="C9" s="22"/>
      <c r="D9" s="22"/>
      <c r="E9" s="22"/>
      <c r="F9" s="22"/>
      <c r="G9" s="22"/>
      <c r="H9" s="22"/>
      <c r="I9" s="27">
        <f>IFERROR(IF($O$1&lt;&gt;"FILL","",IF($A9&gt;$P$1,IF(COUNTA($B9:$H9)&gt;0,"⚠ Past the program length — clear it or raise question 5",""),IF(COUNTA($B9:$H9)&lt;7,"⚠ Fill all 7 days (use REST for rest days)",IF(((COUNTIF(Lists!$A$2:$A$14,$B9)=0)+(COUNTIF(Lists!$A$2:$A$14,$C9)=0)+(COUNTIF(Lists!$A$2:$A$14,$D9)=0)+(COUNTIF(Lists!$A$2:$A$14,$E9)=0)+(COUNTIF(Lists!$A$2:$A$14,$F9)=0)+(COUNTIF(Lists!$A$2:$A$14,$G9)=0)+(COUNTIF(Lists!$A$2:$A$14,$H9)=0))&gt;0,"⚠ Unknown workout name — pick from the dropdown","✓")))),"⚠ Check this row")</f>
      </c>
    </row>
    <row r="10" spans="1:9" x14ac:dyDescent="0.25">
      <c r="A10" s="26">
        <v>5</v>
      </c>
      <c r="B10" s="22"/>
      <c r="C10" s="22"/>
      <c r="D10" s="22"/>
      <c r="E10" s="22"/>
      <c r="F10" s="22"/>
      <c r="G10" s="22"/>
      <c r="H10" s="22"/>
      <c r="I10" s="27">
        <f>IFERROR(IF($O$1&lt;&gt;"FILL","",IF($A10&gt;$P$1,IF(COUNTA($B10:$H10)&gt;0,"⚠ Past the program length — clear it or raise question 5",""),IF(COUNTA($B10:$H10)&lt;7,"⚠ Fill all 7 days (use REST for rest days)",IF(((COUNTIF(Lists!$A$2:$A$14,$B10)=0)+(COUNTIF(Lists!$A$2:$A$14,$C10)=0)+(COUNTIF(Lists!$A$2:$A$14,$D10)=0)+(COUNTIF(Lists!$A$2:$A$14,$E10)=0)+(COUNTIF(Lists!$A$2:$A$14,$F10)=0)+(COUNTIF(Lists!$A$2:$A$14,$G10)=0)+(COUNTIF(Lists!$A$2:$A$14,$H10)=0))&gt;0,"⚠ Unknown workout name — pick from the dropdown","✓")))),"⚠ Check this row")</f>
      </c>
    </row>
    <row r="11" spans="1:9" x14ac:dyDescent="0.25">
      <c r="A11" s="26">
        <v>6</v>
      </c>
      <c r="B11" s="22"/>
      <c r="C11" s="22"/>
      <c r="D11" s="22"/>
      <c r="E11" s="22"/>
      <c r="F11" s="22"/>
      <c r="G11" s="22"/>
      <c r="H11" s="22"/>
      <c r="I11" s="27">
        <f>IFERROR(IF($O$1&lt;&gt;"FILL","",IF($A11&gt;$P$1,IF(COUNTA($B11:$H11)&gt;0,"⚠ Past the program length — clear it or raise question 5",""),IF(COUNTA($B11:$H11)&lt;7,"⚠ Fill all 7 days (use REST for rest days)",IF(((COUNTIF(Lists!$A$2:$A$14,$B11)=0)+(COUNTIF(Lists!$A$2:$A$14,$C11)=0)+(COUNTIF(Lists!$A$2:$A$14,$D11)=0)+(COUNTIF(Lists!$A$2:$A$14,$E11)=0)+(COUNTIF(Lists!$A$2:$A$14,$F11)=0)+(COUNTIF(Lists!$A$2:$A$14,$G11)=0)+(COUNTIF(Lists!$A$2:$A$14,$H11)=0))&gt;0,"⚠ Unknown workout name — pick from the dropdown","✓")))),"⚠ Check this row")</f>
      </c>
    </row>
    <row r="12" spans="1:9" x14ac:dyDescent="0.25">
      <c r="A12" s="26">
        <v>7</v>
      </c>
      <c r="B12" s="22"/>
      <c r="C12" s="22"/>
      <c r="D12" s="22"/>
      <c r="E12" s="22"/>
      <c r="F12" s="22"/>
      <c r="G12" s="22"/>
      <c r="H12" s="22"/>
      <c r="I12" s="27">
        <f>IFERROR(IF($O$1&lt;&gt;"FILL","",IF($A12&gt;$P$1,IF(COUNTA($B12:$H12)&gt;0,"⚠ Past the program length — clear it or raise question 5",""),IF(COUNTA($B12:$H12)&lt;7,"⚠ Fill all 7 days (use REST for rest days)",IF(((COUNTIF(Lists!$A$2:$A$14,$B12)=0)+(COUNTIF(Lists!$A$2:$A$14,$C12)=0)+(COUNTIF(Lists!$A$2:$A$14,$D12)=0)+(COUNTIF(Lists!$A$2:$A$14,$E12)=0)+(COUNTIF(Lists!$A$2:$A$14,$F12)=0)+(COUNTIF(Lists!$A$2:$A$14,$G12)=0)+(COUNTIF(Lists!$A$2:$A$14,$H12)=0))&gt;0,"⚠ Unknown workout name — pick from the dropdown","✓")))),"⚠ Check this row")</f>
      </c>
    </row>
    <row r="13" spans="1:9" x14ac:dyDescent="0.25">
      <c r="A13" s="26">
        <v>8</v>
      </c>
      <c r="B13" s="22"/>
      <c r="C13" s="22"/>
      <c r="D13" s="22"/>
      <c r="E13" s="22"/>
      <c r="F13" s="22"/>
      <c r="G13" s="22"/>
      <c r="H13" s="22"/>
      <c r="I13" s="27">
        <f>IFERROR(IF($O$1&lt;&gt;"FILL","",IF($A13&gt;$P$1,IF(COUNTA($B13:$H13)&gt;0,"⚠ Past the program length — clear it or raise question 5",""),IF(COUNTA($B13:$H13)&lt;7,"⚠ Fill all 7 days (use REST for rest days)",IF(((COUNTIF(Lists!$A$2:$A$14,$B13)=0)+(COUNTIF(Lists!$A$2:$A$14,$C13)=0)+(COUNTIF(Lists!$A$2:$A$14,$D13)=0)+(COUNTIF(Lists!$A$2:$A$14,$E13)=0)+(COUNTIF(Lists!$A$2:$A$14,$F13)=0)+(COUNTIF(Lists!$A$2:$A$14,$G13)=0)+(COUNTIF(Lists!$A$2:$A$14,$H13)=0))&gt;0,"⚠ Unknown workout name — pick from the dropdown","✓")))),"⚠ Check this row")</f>
      </c>
    </row>
    <row r="14" spans="1:9" x14ac:dyDescent="0.25">
      <c r="A14" s="26">
        <v>9</v>
      </c>
      <c r="B14" s="22"/>
      <c r="C14" s="22"/>
      <c r="D14" s="22"/>
      <c r="E14" s="22"/>
      <c r="F14" s="22"/>
      <c r="G14" s="22"/>
      <c r="H14" s="22"/>
      <c r="I14" s="27">
        <f>IFERROR(IF($O$1&lt;&gt;"FILL","",IF($A14&gt;$P$1,IF(COUNTA($B14:$H14)&gt;0,"⚠ Past the program length — clear it or raise question 5",""),IF(COUNTA($B14:$H14)&lt;7,"⚠ Fill all 7 days (use REST for rest days)",IF(((COUNTIF(Lists!$A$2:$A$14,$B14)=0)+(COUNTIF(Lists!$A$2:$A$14,$C14)=0)+(COUNTIF(Lists!$A$2:$A$14,$D14)=0)+(COUNTIF(Lists!$A$2:$A$14,$E14)=0)+(COUNTIF(Lists!$A$2:$A$14,$F14)=0)+(COUNTIF(Lists!$A$2:$A$14,$G14)=0)+(COUNTIF(Lists!$A$2:$A$14,$H14)=0))&gt;0,"⚠ Unknown workout name — pick from the dropdown","✓")))),"⚠ Check this row")</f>
      </c>
    </row>
    <row r="15" spans="1:9" x14ac:dyDescent="0.25">
      <c r="A15" s="26">
        <v>10</v>
      </c>
      <c r="B15" s="22"/>
      <c r="C15" s="22"/>
      <c r="D15" s="22"/>
      <c r="E15" s="22"/>
      <c r="F15" s="22"/>
      <c r="G15" s="22"/>
      <c r="H15" s="22"/>
      <c r="I15" s="27">
        <f>IFERROR(IF($O$1&lt;&gt;"FILL","",IF($A15&gt;$P$1,IF(COUNTA($B15:$H15)&gt;0,"⚠ Past the program length — clear it or raise question 5",""),IF(COUNTA($B15:$H15)&lt;7,"⚠ Fill all 7 days (use REST for rest days)",IF(((COUNTIF(Lists!$A$2:$A$14,$B15)=0)+(COUNTIF(Lists!$A$2:$A$14,$C15)=0)+(COUNTIF(Lists!$A$2:$A$14,$D15)=0)+(COUNTIF(Lists!$A$2:$A$14,$E15)=0)+(COUNTIF(Lists!$A$2:$A$14,$F15)=0)+(COUNTIF(Lists!$A$2:$A$14,$G15)=0)+(COUNTIF(Lists!$A$2:$A$14,$H15)=0))&gt;0,"⚠ Unknown workout name — pick from the dropdown","✓")))),"⚠ Check this row")</f>
      </c>
    </row>
    <row r="16" spans="1:9" x14ac:dyDescent="0.25">
      <c r="A16" s="26">
        <v>11</v>
      </c>
      <c r="B16" s="22"/>
      <c r="C16" s="22"/>
      <c r="D16" s="22"/>
      <c r="E16" s="22"/>
      <c r="F16" s="22"/>
      <c r="G16" s="22"/>
      <c r="H16" s="22"/>
      <c r="I16" s="27">
        <f>IFERROR(IF($O$1&lt;&gt;"FILL","",IF($A16&gt;$P$1,IF(COUNTA($B16:$H16)&gt;0,"⚠ Past the program length — clear it or raise question 5",""),IF(COUNTA($B16:$H16)&lt;7,"⚠ Fill all 7 days (use REST for rest days)",IF(((COUNTIF(Lists!$A$2:$A$14,$B16)=0)+(COUNTIF(Lists!$A$2:$A$14,$C16)=0)+(COUNTIF(Lists!$A$2:$A$14,$D16)=0)+(COUNTIF(Lists!$A$2:$A$14,$E16)=0)+(COUNTIF(Lists!$A$2:$A$14,$F16)=0)+(COUNTIF(Lists!$A$2:$A$14,$G16)=0)+(COUNTIF(Lists!$A$2:$A$14,$H16)=0))&gt;0,"⚠ Unknown workout name — pick from the dropdown","✓")))),"⚠ Check this row")</f>
      </c>
    </row>
    <row r="17" spans="1:9" x14ac:dyDescent="0.25">
      <c r="A17" s="26">
        <v>12</v>
      </c>
      <c r="B17" s="22"/>
      <c r="C17" s="22"/>
      <c r="D17" s="22"/>
      <c r="E17" s="22"/>
      <c r="F17" s="22"/>
      <c r="G17" s="22"/>
      <c r="H17" s="22"/>
      <c r="I17" s="27">
        <f>IFERROR(IF($O$1&lt;&gt;"FILL","",IF($A17&gt;$P$1,IF(COUNTA($B17:$H17)&gt;0,"⚠ Past the program length — clear it or raise question 5",""),IF(COUNTA($B17:$H17)&lt;7,"⚠ Fill all 7 days (use REST for rest days)",IF(((COUNTIF(Lists!$A$2:$A$14,$B17)=0)+(COUNTIF(Lists!$A$2:$A$14,$C17)=0)+(COUNTIF(Lists!$A$2:$A$14,$D17)=0)+(COUNTIF(Lists!$A$2:$A$14,$E17)=0)+(COUNTIF(Lists!$A$2:$A$14,$F17)=0)+(COUNTIF(Lists!$A$2:$A$14,$G17)=0)+(COUNTIF(Lists!$A$2:$A$14,$H17)=0))&gt;0,"⚠ Unknown workout name — pick from the dropdown","✓")))),"⚠ Check this row")</f>
      </c>
    </row>
    <row r="18" spans="1:9" x14ac:dyDescent="0.25">
      <c r="A18" s="26">
        <v>13</v>
      </c>
      <c r="B18" s="22"/>
      <c r="C18" s="22"/>
      <c r="D18" s="22"/>
      <c r="E18" s="22"/>
      <c r="F18" s="22"/>
      <c r="G18" s="22"/>
      <c r="H18" s="22"/>
      <c r="I18" s="27">
        <f>IFERROR(IF($O$1&lt;&gt;"FILL","",IF($A18&gt;$P$1,IF(COUNTA($B18:$H18)&gt;0,"⚠ Past the program length — clear it or raise question 5",""),IF(COUNTA($B18:$H18)&lt;7,"⚠ Fill all 7 days (use REST for rest days)",IF(((COUNTIF(Lists!$A$2:$A$14,$B18)=0)+(COUNTIF(Lists!$A$2:$A$14,$C18)=0)+(COUNTIF(Lists!$A$2:$A$14,$D18)=0)+(COUNTIF(Lists!$A$2:$A$14,$E18)=0)+(COUNTIF(Lists!$A$2:$A$14,$F18)=0)+(COUNTIF(Lists!$A$2:$A$14,$G18)=0)+(COUNTIF(Lists!$A$2:$A$14,$H18)=0))&gt;0,"⚠ Unknown workout name — pick from the dropdown","✓")))),"⚠ Check this row")</f>
      </c>
    </row>
    <row r="19" spans="1:9" x14ac:dyDescent="0.25">
      <c r="A19" s="26">
        <v>14</v>
      </c>
      <c r="B19" s="22"/>
      <c r="C19" s="22"/>
      <c r="D19" s="22"/>
      <c r="E19" s="22"/>
      <c r="F19" s="22"/>
      <c r="G19" s="22"/>
      <c r="H19" s="22"/>
      <c r="I19" s="27">
        <f>IFERROR(IF($O$1&lt;&gt;"FILL","",IF($A19&gt;$P$1,IF(COUNTA($B19:$H19)&gt;0,"⚠ Past the program length — clear it or raise question 5",""),IF(COUNTA($B19:$H19)&lt;7,"⚠ Fill all 7 days (use REST for rest days)",IF(((COUNTIF(Lists!$A$2:$A$14,$B19)=0)+(COUNTIF(Lists!$A$2:$A$14,$C19)=0)+(COUNTIF(Lists!$A$2:$A$14,$D19)=0)+(COUNTIF(Lists!$A$2:$A$14,$E19)=0)+(COUNTIF(Lists!$A$2:$A$14,$F19)=0)+(COUNTIF(Lists!$A$2:$A$14,$G19)=0)+(COUNTIF(Lists!$A$2:$A$14,$H19)=0))&gt;0,"⚠ Unknown workout name — pick from the dropdown","✓")))),"⚠ Check this row")</f>
      </c>
    </row>
    <row r="20" spans="1:9" x14ac:dyDescent="0.25">
      <c r="A20" s="26">
        <v>15</v>
      </c>
      <c r="B20" s="22"/>
      <c r="C20" s="22"/>
      <c r="D20" s="22"/>
      <c r="E20" s="22"/>
      <c r="F20" s="22"/>
      <c r="G20" s="22"/>
      <c r="H20" s="22"/>
      <c r="I20" s="27">
        <f>IFERROR(IF($O$1&lt;&gt;"FILL","",IF($A20&gt;$P$1,IF(COUNTA($B20:$H20)&gt;0,"⚠ Past the program length — clear it or raise question 5",""),IF(COUNTA($B20:$H20)&lt;7,"⚠ Fill all 7 days (use REST for rest days)",IF(((COUNTIF(Lists!$A$2:$A$14,$B20)=0)+(COUNTIF(Lists!$A$2:$A$14,$C20)=0)+(COUNTIF(Lists!$A$2:$A$14,$D20)=0)+(COUNTIF(Lists!$A$2:$A$14,$E20)=0)+(COUNTIF(Lists!$A$2:$A$14,$F20)=0)+(COUNTIF(Lists!$A$2:$A$14,$G20)=0)+(COUNTIF(Lists!$A$2:$A$14,$H20)=0))&gt;0,"⚠ Unknown workout name — pick from the dropdown","✓")))),"⚠ Check this row")</f>
      </c>
    </row>
    <row r="21" spans="1:9" x14ac:dyDescent="0.25">
      <c r="A21" s="26">
        <v>16</v>
      </c>
      <c r="B21" s="22"/>
      <c r="C21" s="22"/>
      <c r="D21" s="22"/>
      <c r="E21" s="22"/>
      <c r="F21" s="22"/>
      <c r="G21" s="22"/>
      <c r="H21" s="22"/>
      <c r="I21" s="27">
        <f>IFERROR(IF($O$1&lt;&gt;"FILL","",IF($A21&gt;$P$1,IF(COUNTA($B21:$H21)&gt;0,"⚠ Past the program length — clear it or raise question 5",""),IF(COUNTA($B21:$H21)&lt;7,"⚠ Fill all 7 days (use REST for rest days)",IF(((COUNTIF(Lists!$A$2:$A$14,$B21)=0)+(COUNTIF(Lists!$A$2:$A$14,$C21)=0)+(COUNTIF(Lists!$A$2:$A$14,$D21)=0)+(COUNTIF(Lists!$A$2:$A$14,$E21)=0)+(COUNTIF(Lists!$A$2:$A$14,$F21)=0)+(COUNTIF(Lists!$A$2:$A$14,$G21)=0)+(COUNTIF(Lists!$A$2:$A$14,$H21)=0))&gt;0,"⚠ Unknown workout name — pick from the dropdown","✓")))),"⚠ Check this row")</f>
      </c>
    </row>
    <row r="22" spans="1:9" x14ac:dyDescent="0.25">
      <c r="A22" s="26">
        <v>17</v>
      </c>
      <c r="B22" s="22"/>
      <c r="C22" s="22"/>
      <c r="D22" s="22"/>
      <c r="E22" s="22"/>
      <c r="F22" s="22"/>
      <c r="G22" s="22"/>
      <c r="H22" s="22"/>
      <c r="I22" s="27">
        <f>IFERROR(IF($O$1&lt;&gt;"FILL","",IF($A22&gt;$P$1,IF(COUNTA($B22:$H22)&gt;0,"⚠ Past the program length — clear it or raise question 5",""),IF(COUNTA($B22:$H22)&lt;7,"⚠ Fill all 7 days (use REST for rest days)",IF(((COUNTIF(Lists!$A$2:$A$14,$B22)=0)+(COUNTIF(Lists!$A$2:$A$14,$C22)=0)+(COUNTIF(Lists!$A$2:$A$14,$D22)=0)+(COUNTIF(Lists!$A$2:$A$14,$E22)=0)+(COUNTIF(Lists!$A$2:$A$14,$F22)=0)+(COUNTIF(Lists!$A$2:$A$14,$G22)=0)+(COUNTIF(Lists!$A$2:$A$14,$H22)=0))&gt;0,"⚠ Unknown workout name — pick from the dropdown","✓")))),"⚠ Check this row")</f>
      </c>
    </row>
    <row r="23" spans="1:9" x14ac:dyDescent="0.25">
      <c r="A23" s="26">
        <v>18</v>
      </c>
      <c r="B23" s="22"/>
      <c r="C23" s="22"/>
      <c r="D23" s="22"/>
      <c r="E23" s="22"/>
      <c r="F23" s="22"/>
      <c r="G23" s="22"/>
      <c r="H23" s="22"/>
      <c r="I23" s="27">
        <f>IFERROR(IF($O$1&lt;&gt;"FILL","",IF($A23&gt;$P$1,IF(COUNTA($B23:$H23)&gt;0,"⚠ Past the program length — clear it or raise question 5",""),IF(COUNTA($B23:$H23)&lt;7,"⚠ Fill all 7 days (use REST for rest days)",IF(((COUNTIF(Lists!$A$2:$A$14,$B23)=0)+(COUNTIF(Lists!$A$2:$A$14,$C23)=0)+(COUNTIF(Lists!$A$2:$A$14,$D23)=0)+(COUNTIF(Lists!$A$2:$A$14,$E23)=0)+(COUNTIF(Lists!$A$2:$A$14,$F23)=0)+(COUNTIF(Lists!$A$2:$A$14,$G23)=0)+(COUNTIF(Lists!$A$2:$A$14,$H23)=0))&gt;0,"⚠ Unknown workout name — pick from the dropdown","✓")))),"⚠ Check this row")</f>
      </c>
    </row>
    <row r="24" spans="1:9" x14ac:dyDescent="0.25">
      <c r="A24" s="26">
        <v>19</v>
      </c>
      <c r="B24" s="22"/>
      <c r="C24" s="22"/>
      <c r="D24" s="22"/>
      <c r="E24" s="22"/>
      <c r="F24" s="22"/>
      <c r="G24" s="22"/>
      <c r="H24" s="22"/>
      <c r="I24" s="27">
        <f>IFERROR(IF($O$1&lt;&gt;"FILL","",IF($A24&gt;$P$1,IF(COUNTA($B24:$H24)&gt;0,"⚠ Past the program length — clear it or raise question 5",""),IF(COUNTA($B24:$H24)&lt;7,"⚠ Fill all 7 days (use REST for rest days)",IF(((COUNTIF(Lists!$A$2:$A$14,$B24)=0)+(COUNTIF(Lists!$A$2:$A$14,$C24)=0)+(COUNTIF(Lists!$A$2:$A$14,$D24)=0)+(COUNTIF(Lists!$A$2:$A$14,$E24)=0)+(COUNTIF(Lists!$A$2:$A$14,$F24)=0)+(COUNTIF(Lists!$A$2:$A$14,$G24)=0)+(COUNTIF(Lists!$A$2:$A$14,$H24)=0))&gt;0,"⚠ Unknown workout name — pick from the dropdown","✓")))),"⚠ Check this row")</f>
      </c>
    </row>
    <row r="25" spans="1:9" x14ac:dyDescent="0.25">
      <c r="A25" s="26">
        <v>20</v>
      </c>
      <c r="B25" s="22"/>
      <c r="C25" s="22"/>
      <c r="D25" s="22"/>
      <c r="E25" s="22"/>
      <c r="F25" s="22"/>
      <c r="G25" s="22"/>
      <c r="H25" s="22"/>
      <c r="I25" s="27">
        <f>IFERROR(IF($O$1&lt;&gt;"FILL","",IF($A25&gt;$P$1,IF(COUNTA($B25:$H25)&gt;0,"⚠ Past the program length — clear it or raise question 5",""),IF(COUNTA($B25:$H25)&lt;7,"⚠ Fill all 7 days (use REST for rest days)",IF(((COUNTIF(Lists!$A$2:$A$14,$B25)=0)+(COUNTIF(Lists!$A$2:$A$14,$C25)=0)+(COUNTIF(Lists!$A$2:$A$14,$D25)=0)+(COUNTIF(Lists!$A$2:$A$14,$E25)=0)+(COUNTIF(Lists!$A$2:$A$14,$F25)=0)+(COUNTIF(Lists!$A$2:$A$14,$G25)=0)+(COUNTIF(Lists!$A$2:$A$14,$H25)=0))&gt;0,"⚠ Unknown workout name — pick from the dropdown","✓")))),"⚠ Check this row")</f>
      </c>
    </row>
    <row r="26" spans="1:9" x14ac:dyDescent="0.25">
      <c r="A26" s="26">
        <v>21</v>
      </c>
      <c r="B26" s="22"/>
      <c r="C26" s="22"/>
      <c r="D26" s="22"/>
      <c r="E26" s="22"/>
      <c r="F26" s="22"/>
      <c r="G26" s="22"/>
      <c r="H26" s="22"/>
      <c r="I26" s="27">
        <f>IFERROR(IF($O$1&lt;&gt;"FILL","",IF($A26&gt;$P$1,IF(COUNTA($B26:$H26)&gt;0,"⚠ Past the program length — clear it or raise question 5",""),IF(COUNTA($B26:$H26)&lt;7,"⚠ Fill all 7 days (use REST for rest days)",IF(((COUNTIF(Lists!$A$2:$A$14,$B26)=0)+(COUNTIF(Lists!$A$2:$A$14,$C26)=0)+(COUNTIF(Lists!$A$2:$A$14,$D26)=0)+(COUNTIF(Lists!$A$2:$A$14,$E26)=0)+(COUNTIF(Lists!$A$2:$A$14,$F26)=0)+(COUNTIF(Lists!$A$2:$A$14,$G26)=0)+(COUNTIF(Lists!$A$2:$A$14,$H26)=0))&gt;0,"⚠ Unknown workout name — pick from the dropdown","✓")))),"⚠ Check this row")</f>
      </c>
    </row>
    <row r="27" spans="1:9" x14ac:dyDescent="0.25">
      <c r="A27" s="26">
        <v>22</v>
      </c>
      <c r="B27" s="22"/>
      <c r="C27" s="22"/>
      <c r="D27" s="22"/>
      <c r="E27" s="22"/>
      <c r="F27" s="22"/>
      <c r="G27" s="22"/>
      <c r="H27" s="22"/>
      <c r="I27" s="27">
        <f>IFERROR(IF($O$1&lt;&gt;"FILL","",IF($A27&gt;$P$1,IF(COUNTA($B27:$H27)&gt;0,"⚠ Past the program length — clear it or raise question 5",""),IF(COUNTA($B27:$H27)&lt;7,"⚠ Fill all 7 days (use REST for rest days)",IF(((COUNTIF(Lists!$A$2:$A$14,$B27)=0)+(COUNTIF(Lists!$A$2:$A$14,$C27)=0)+(COUNTIF(Lists!$A$2:$A$14,$D27)=0)+(COUNTIF(Lists!$A$2:$A$14,$E27)=0)+(COUNTIF(Lists!$A$2:$A$14,$F27)=0)+(COUNTIF(Lists!$A$2:$A$14,$G27)=0)+(COUNTIF(Lists!$A$2:$A$14,$H27)=0))&gt;0,"⚠ Unknown workout name — pick from the dropdown","✓")))),"⚠ Check this row")</f>
      </c>
    </row>
    <row r="28" spans="1:9" x14ac:dyDescent="0.25">
      <c r="A28" s="26">
        <v>23</v>
      </c>
      <c r="B28" s="22"/>
      <c r="C28" s="22"/>
      <c r="D28" s="22"/>
      <c r="E28" s="22"/>
      <c r="F28" s="22"/>
      <c r="G28" s="22"/>
      <c r="H28" s="22"/>
      <c r="I28" s="27">
        <f>IFERROR(IF($O$1&lt;&gt;"FILL","",IF($A28&gt;$P$1,IF(COUNTA($B28:$H28)&gt;0,"⚠ Past the program length — clear it or raise question 5",""),IF(COUNTA($B28:$H28)&lt;7,"⚠ Fill all 7 days (use REST for rest days)",IF(((COUNTIF(Lists!$A$2:$A$14,$B28)=0)+(COUNTIF(Lists!$A$2:$A$14,$C28)=0)+(COUNTIF(Lists!$A$2:$A$14,$D28)=0)+(COUNTIF(Lists!$A$2:$A$14,$E28)=0)+(COUNTIF(Lists!$A$2:$A$14,$F28)=0)+(COUNTIF(Lists!$A$2:$A$14,$G28)=0)+(COUNTIF(Lists!$A$2:$A$14,$H28)=0))&gt;0,"⚠ Unknown workout name — pick from the dropdown","✓")))),"⚠ Check this row")</f>
      </c>
    </row>
    <row r="29" spans="1:9" x14ac:dyDescent="0.25">
      <c r="A29" s="26">
        <v>24</v>
      </c>
      <c r="B29" s="22"/>
      <c r="C29" s="22"/>
      <c r="D29" s="22"/>
      <c r="E29" s="22"/>
      <c r="F29" s="22"/>
      <c r="G29" s="22"/>
      <c r="H29" s="22"/>
      <c r="I29" s="27">
        <f>IFERROR(IF($O$1&lt;&gt;"FILL","",IF($A29&gt;$P$1,IF(COUNTA($B29:$H29)&gt;0,"⚠ Past the program length — clear it or raise question 5",""),IF(COUNTA($B29:$H29)&lt;7,"⚠ Fill all 7 days (use REST for rest days)",IF(((COUNTIF(Lists!$A$2:$A$14,$B29)=0)+(COUNTIF(Lists!$A$2:$A$14,$C29)=0)+(COUNTIF(Lists!$A$2:$A$14,$D29)=0)+(COUNTIF(Lists!$A$2:$A$14,$E29)=0)+(COUNTIF(Lists!$A$2:$A$14,$F29)=0)+(COUNTIF(Lists!$A$2:$A$14,$G29)=0)+(COUNTIF(Lists!$A$2:$A$14,$H29)=0))&gt;0,"⚠ Unknown workout name — pick from the dropdown","✓")))),"⚠ Check this row")</f>
      </c>
    </row>
    <row r="30" spans="1:9" x14ac:dyDescent="0.25">
      <c r="A30" s="26">
        <v>25</v>
      </c>
      <c r="B30" s="22"/>
      <c r="C30" s="22"/>
      <c r="D30" s="22"/>
      <c r="E30" s="22"/>
      <c r="F30" s="22"/>
      <c r="G30" s="22"/>
      <c r="H30" s="22"/>
      <c r="I30" s="27">
        <f>IFERROR(IF($O$1&lt;&gt;"FILL","",IF($A30&gt;$P$1,IF(COUNTA($B30:$H30)&gt;0,"⚠ Past the program length — clear it or raise question 5",""),IF(COUNTA($B30:$H30)&lt;7,"⚠ Fill all 7 days (use REST for rest days)",IF(((COUNTIF(Lists!$A$2:$A$14,$B30)=0)+(COUNTIF(Lists!$A$2:$A$14,$C30)=0)+(COUNTIF(Lists!$A$2:$A$14,$D30)=0)+(COUNTIF(Lists!$A$2:$A$14,$E30)=0)+(COUNTIF(Lists!$A$2:$A$14,$F30)=0)+(COUNTIF(Lists!$A$2:$A$14,$G30)=0)+(COUNTIF(Lists!$A$2:$A$14,$H30)=0))&gt;0,"⚠ Unknown workout name — pick from the dropdown","✓")))),"⚠ Check this row")</f>
      </c>
    </row>
    <row r="31" spans="1:9" x14ac:dyDescent="0.25">
      <c r="A31" s="26">
        <v>26</v>
      </c>
      <c r="B31" s="22"/>
      <c r="C31" s="22"/>
      <c r="D31" s="22"/>
      <c r="E31" s="22"/>
      <c r="F31" s="22"/>
      <c r="G31" s="22"/>
      <c r="H31" s="22"/>
      <c r="I31" s="27">
        <f>IFERROR(IF($O$1&lt;&gt;"FILL","",IF($A31&gt;$P$1,IF(COUNTA($B31:$H31)&gt;0,"⚠ Past the program length — clear it or raise question 5",""),IF(COUNTA($B31:$H31)&lt;7,"⚠ Fill all 7 days (use REST for rest days)",IF(((COUNTIF(Lists!$A$2:$A$14,$B31)=0)+(COUNTIF(Lists!$A$2:$A$14,$C31)=0)+(COUNTIF(Lists!$A$2:$A$14,$D31)=0)+(COUNTIF(Lists!$A$2:$A$14,$E31)=0)+(COUNTIF(Lists!$A$2:$A$14,$F31)=0)+(COUNTIF(Lists!$A$2:$A$14,$G31)=0)+(COUNTIF(Lists!$A$2:$A$14,$H31)=0))&gt;0,"⚠ Unknown workout name — pick from the dropdown","✓")))),"⚠ Check this row")</f>
      </c>
    </row>
    <row r="32" spans="1:9" x14ac:dyDescent="0.25">
      <c r="A32" s="26">
        <v>27</v>
      </c>
      <c r="B32" s="22"/>
      <c r="C32" s="22"/>
      <c r="D32" s="22"/>
      <c r="E32" s="22"/>
      <c r="F32" s="22"/>
      <c r="G32" s="22"/>
      <c r="H32" s="22"/>
      <c r="I32" s="27">
        <f>IFERROR(IF($O$1&lt;&gt;"FILL","",IF($A32&gt;$P$1,IF(COUNTA($B32:$H32)&gt;0,"⚠ Past the program length — clear it or raise question 5",""),IF(COUNTA($B32:$H32)&lt;7,"⚠ Fill all 7 days (use REST for rest days)",IF(((COUNTIF(Lists!$A$2:$A$14,$B32)=0)+(COUNTIF(Lists!$A$2:$A$14,$C32)=0)+(COUNTIF(Lists!$A$2:$A$14,$D32)=0)+(COUNTIF(Lists!$A$2:$A$14,$E32)=0)+(COUNTIF(Lists!$A$2:$A$14,$F32)=0)+(COUNTIF(Lists!$A$2:$A$14,$G32)=0)+(COUNTIF(Lists!$A$2:$A$14,$H32)=0))&gt;0,"⚠ Unknown workout name — pick from the dropdown","✓")))),"⚠ Check this row")</f>
      </c>
    </row>
    <row r="33" spans="1:9" x14ac:dyDescent="0.25">
      <c r="A33" s="26">
        <v>28</v>
      </c>
      <c r="B33" s="22"/>
      <c r="C33" s="22"/>
      <c r="D33" s="22"/>
      <c r="E33" s="22"/>
      <c r="F33" s="22"/>
      <c r="G33" s="22"/>
      <c r="H33" s="22"/>
      <c r="I33" s="27">
        <f>IFERROR(IF($O$1&lt;&gt;"FILL","",IF($A33&gt;$P$1,IF(COUNTA($B33:$H33)&gt;0,"⚠ Past the program length — clear it or raise question 5",""),IF(COUNTA($B33:$H33)&lt;7,"⚠ Fill all 7 days (use REST for rest days)",IF(((COUNTIF(Lists!$A$2:$A$14,$B33)=0)+(COUNTIF(Lists!$A$2:$A$14,$C33)=0)+(COUNTIF(Lists!$A$2:$A$14,$D33)=0)+(COUNTIF(Lists!$A$2:$A$14,$E33)=0)+(COUNTIF(Lists!$A$2:$A$14,$F33)=0)+(COUNTIF(Lists!$A$2:$A$14,$G33)=0)+(COUNTIF(Lists!$A$2:$A$14,$H33)=0))&gt;0,"⚠ Unknown workout name — pick from the dropdown","✓")))),"⚠ Check this row")</f>
      </c>
    </row>
    <row r="34" spans="1:9" x14ac:dyDescent="0.25">
      <c r="A34" s="26">
        <v>29</v>
      </c>
      <c r="B34" s="22"/>
      <c r="C34" s="22"/>
      <c r="D34" s="22"/>
      <c r="E34" s="22"/>
      <c r="F34" s="22"/>
      <c r="G34" s="22"/>
      <c r="H34" s="22"/>
      <c r="I34" s="27">
        <f>IFERROR(IF($O$1&lt;&gt;"FILL","",IF($A34&gt;$P$1,IF(COUNTA($B34:$H34)&gt;0,"⚠ Past the program length — clear it or raise question 5",""),IF(COUNTA($B34:$H34)&lt;7,"⚠ Fill all 7 days (use REST for rest days)",IF(((COUNTIF(Lists!$A$2:$A$14,$B34)=0)+(COUNTIF(Lists!$A$2:$A$14,$C34)=0)+(COUNTIF(Lists!$A$2:$A$14,$D34)=0)+(COUNTIF(Lists!$A$2:$A$14,$E34)=0)+(COUNTIF(Lists!$A$2:$A$14,$F34)=0)+(COUNTIF(Lists!$A$2:$A$14,$G34)=0)+(COUNTIF(Lists!$A$2:$A$14,$H34)=0))&gt;0,"⚠ Unknown workout name — pick from the dropdown","✓")))),"⚠ Check this row")</f>
      </c>
    </row>
    <row r="35" spans="1:9" x14ac:dyDescent="0.25">
      <c r="A35" s="26">
        <v>30</v>
      </c>
      <c r="B35" s="22"/>
      <c r="C35" s="22"/>
      <c r="D35" s="22"/>
      <c r="E35" s="22"/>
      <c r="F35" s="22"/>
      <c r="G35" s="22"/>
      <c r="H35" s="22"/>
      <c r="I35" s="27">
        <f>IFERROR(IF($O$1&lt;&gt;"FILL","",IF($A35&gt;$P$1,IF(COUNTA($B35:$H35)&gt;0,"⚠ Past the program length — clear it or raise question 5",""),IF(COUNTA($B35:$H35)&lt;7,"⚠ Fill all 7 days (use REST for rest days)",IF(((COUNTIF(Lists!$A$2:$A$14,$B35)=0)+(COUNTIF(Lists!$A$2:$A$14,$C35)=0)+(COUNTIF(Lists!$A$2:$A$14,$D35)=0)+(COUNTIF(Lists!$A$2:$A$14,$E35)=0)+(COUNTIF(Lists!$A$2:$A$14,$F35)=0)+(COUNTIF(Lists!$A$2:$A$14,$G35)=0)+(COUNTIF(Lists!$A$2:$A$14,$H35)=0))&gt;0,"⚠ Unknown workout name — pick from the dropdown","✓")))),"⚠ Check this row")</f>
      </c>
    </row>
    <row r="36" spans="1:9" x14ac:dyDescent="0.25">
      <c r="A36" s="26">
        <v>31</v>
      </c>
      <c r="B36" s="22"/>
      <c r="C36" s="22"/>
      <c r="D36" s="22"/>
      <c r="E36" s="22"/>
      <c r="F36" s="22"/>
      <c r="G36" s="22"/>
      <c r="H36" s="22"/>
      <c r="I36" s="27">
        <f>IFERROR(IF($O$1&lt;&gt;"FILL","",IF($A36&gt;$P$1,IF(COUNTA($B36:$H36)&gt;0,"⚠ Past the program length — clear it or raise question 5",""),IF(COUNTA($B36:$H36)&lt;7,"⚠ Fill all 7 days (use REST for rest days)",IF(((COUNTIF(Lists!$A$2:$A$14,$B36)=0)+(COUNTIF(Lists!$A$2:$A$14,$C36)=0)+(COUNTIF(Lists!$A$2:$A$14,$D36)=0)+(COUNTIF(Lists!$A$2:$A$14,$E36)=0)+(COUNTIF(Lists!$A$2:$A$14,$F36)=0)+(COUNTIF(Lists!$A$2:$A$14,$G36)=0)+(COUNTIF(Lists!$A$2:$A$14,$H36)=0))&gt;0,"⚠ Unknown workout name — pick from the dropdown","✓")))),"⚠ Check this row")</f>
      </c>
    </row>
    <row r="37" spans="1:9" x14ac:dyDescent="0.25">
      <c r="A37" s="26">
        <v>32</v>
      </c>
      <c r="B37" s="22"/>
      <c r="C37" s="22"/>
      <c r="D37" s="22"/>
      <c r="E37" s="22"/>
      <c r="F37" s="22"/>
      <c r="G37" s="22"/>
      <c r="H37" s="22"/>
      <c r="I37" s="27">
        <f>IFERROR(IF($O$1&lt;&gt;"FILL","",IF($A37&gt;$P$1,IF(COUNTA($B37:$H37)&gt;0,"⚠ Past the program length — clear it or raise question 5",""),IF(COUNTA($B37:$H37)&lt;7,"⚠ Fill all 7 days (use REST for rest days)",IF(((COUNTIF(Lists!$A$2:$A$14,$B37)=0)+(COUNTIF(Lists!$A$2:$A$14,$C37)=0)+(COUNTIF(Lists!$A$2:$A$14,$D37)=0)+(COUNTIF(Lists!$A$2:$A$14,$E37)=0)+(COUNTIF(Lists!$A$2:$A$14,$F37)=0)+(COUNTIF(Lists!$A$2:$A$14,$G37)=0)+(COUNTIF(Lists!$A$2:$A$14,$H37)=0))&gt;0,"⚠ Unknown workout name — pick from the dropdown","✓")))),"⚠ Check this row")</f>
      </c>
    </row>
    <row r="38" spans="1:9" x14ac:dyDescent="0.25">
      <c r="A38" s="26">
        <v>33</v>
      </c>
      <c r="B38" s="22"/>
      <c r="C38" s="22"/>
      <c r="D38" s="22"/>
      <c r="E38" s="22"/>
      <c r="F38" s="22"/>
      <c r="G38" s="22"/>
      <c r="H38" s="22"/>
      <c r="I38" s="27">
        <f>IFERROR(IF($O$1&lt;&gt;"FILL","",IF($A38&gt;$P$1,IF(COUNTA($B38:$H38)&gt;0,"⚠ Past the program length — clear it or raise question 5",""),IF(COUNTA($B38:$H38)&lt;7,"⚠ Fill all 7 days (use REST for rest days)",IF(((COUNTIF(Lists!$A$2:$A$14,$B38)=0)+(COUNTIF(Lists!$A$2:$A$14,$C38)=0)+(COUNTIF(Lists!$A$2:$A$14,$D38)=0)+(COUNTIF(Lists!$A$2:$A$14,$E38)=0)+(COUNTIF(Lists!$A$2:$A$14,$F38)=0)+(COUNTIF(Lists!$A$2:$A$14,$G38)=0)+(COUNTIF(Lists!$A$2:$A$14,$H38)=0))&gt;0,"⚠ Unknown workout name — pick from the dropdown","✓")))),"⚠ Check this row")</f>
      </c>
    </row>
    <row r="39" spans="1:9" x14ac:dyDescent="0.25">
      <c r="A39" s="26">
        <v>34</v>
      </c>
      <c r="B39" s="22"/>
      <c r="C39" s="22"/>
      <c r="D39" s="22"/>
      <c r="E39" s="22"/>
      <c r="F39" s="22"/>
      <c r="G39" s="22"/>
      <c r="H39" s="22"/>
      <c r="I39" s="27">
        <f>IFERROR(IF($O$1&lt;&gt;"FILL","",IF($A39&gt;$P$1,IF(COUNTA($B39:$H39)&gt;0,"⚠ Past the program length — clear it or raise question 5",""),IF(COUNTA($B39:$H39)&lt;7,"⚠ Fill all 7 days (use REST for rest days)",IF(((COUNTIF(Lists!$A$2:$A$14,$B39)=0)+(COUNTIF(Lists!$A$2:$A$14,$C39)=0)+(COUNTIF(Lists!$A$2:$A$14,$D39)=0)+(COUNTIF(Lists!$A$2:$A$14,$E39)=0)+(COUNTIF(Lists!$A$2:$A$14,$F39)=0)+(COUNTIF(Lists!$A$2:$A$14,$G39)=0)+(COUNTIF(Lists!$A$2:$A$14,$H39)=0))&gt;0,"⚠ Unknown workout name — pick from the dropdown","✓")))),"⚠ Check this row")</f>
      </c>
    </row>
    <row r="40" spans="1:9" x14ac:dyDescent="0.25">
      <c r="A40" s="26">
        <v>35</v>
      </c>
      <c r="B40" s="22"/>
      <c r="C40" s="22"/>
      <c r="D40" s="22"/>
      <c r="E40" s="22"/>
      <c r="F40" s="22"/>
      <c r="G40" s="22"/>
      <c r="H40" s="22"/>
      <c r="I40" s="27">
        <f>IFERROR(IF($O$1&lt;&gt;"FILL","",IF($A40&gt;$P$1,IF(COUNTA($B40:$H40)&gt;0,"⚠ Past the program length — clear it or raise question 5",""),IF(COUNTA($B40:$H40)&lt;7,"⚠ Fill all 7 days (use REST for rest days)",IF(((COUNTIF(Lists!$A$2:$A$14,$B40)=0)+(COUNTIF(Lists!$A$2:$A$14,$C40)=0)+(COUNTIF(Lists!$A$2:$A$14,$D40)=0)+(COUNTIF(Lists!$A$2:$A$14,$E40)=0)+(COUNTIF(Lists!$A$2:$A$14,$F40)=0)+(COUNTIF(Lists!$A$2:$A$14,$G40)=0)+(COUNTIF(Lists!$A$2:$A$14,$H40)=0))&gt;0,"⚠ Unknown workout name — pick from the dropdown","✓")))),"⚠ Check this row")</f>
      </c>
    </row>
    <row r="41" spans="1:9" x14ac:dyDescent="0.25">
      <c r="A41" s="26">
        <v>36</v>
      </c>
      <c r="B41" s="22"/>
      <c r="C41" s="22"/>
      <c r="D41" s="22"/>
      <c r="E41" s="22"/>
      <c r="F41" s="22"/>
      <c r="G41" s="22"/>
      <c r="H41" s="22"/>
      <c r="I41" s="27">
        <f>IFERROR(IF($O$1&lt;&gt;"FILL","",IF($A41&gt;$P$1,IF(COUNTA($B41:$H41)&gt;0,"⚠ Past the program length — clear it or raise question 5",""),IF(COUNTA($B41:$H41)&lt;7,"⚠ Fill all 7 days (use REST for rest days)",IF(((COUNTIF(Lists!$A$2:$A$14,$B41)=0)+(COUNTIF(Lists!$A$2:$A$14,$C41)=0)+(COUNTIF(Lists!$A$2:$A$14,$D41)=0)+(COUNTIF(Lists!$A$2:$A$14,$E41)=0)+(COUNTIF(Lists!$A$2:$A$14,$F41)=0)+(COUNTIF(Lists!$A$2:$A$14,$G41)=0)+(COUNTIF(Lists!$A$2:$A$14,$H41)=0))&gt;0,"⚠ Unknown workout name — pick from the dropdown","✓")))),"⚠ Check this row")</f>
      </c>
    </row>
    <row r="42" spans="1:9" x14ac:dyDescent="0.25">
      <c r="A42" s="26">
        <v>37</v>
      </c>
      <c r="B42" s="22"/>
      <c r="C42" s="22"/>
      <c r="D42" s="22"/>
      <c r="E42" s="22"/>
      <c r="F42" s="22"/>
      <c r="G42" s="22"/>
      <c r="H42" s="22"/>
      <c r="I42" s="27">
        <f>IFERROR(IF($O$1&lt;&gt;"FILL","",IF($A42&gt;$P$1,IF(COUNTA($B42:$H42)&gt;0,"⚠ Past the program length — clear it or raise question 5",""),IF(COUNTA($B42:$H42)&lt;7,"⚠ Fill all 7 days (use REST for rest days)",IF(((COUNTIF(Lists!$A$2:$A$14,$B42)=0)+(COUNTIF(Lists!$A$2:$A$14,$C42)=0)+(COUNTIF(Lists!$A$2:$A$14,$D42)=0)+(COUNTIF(Lists!$A$2:$A$14,$E42)=0)+(COUNTIF(Lists!$A$2:$A$14,$F42)=0)+(COUNTIF(Lists!$A$2:$A$14,$G42)=0)+(COUNTIF(Lists!$A$2:$A$14,$H42)=0))&gt;0,"⚠ Unknown workout name — pick from the dropdown","✓")))),"⚠ Check this row")</f>
      </c>
    </row>
    <row r="43" spans="1:9" x14ac:dyDescent="0.25">
      <c r="A43" s="26">
        <v>38</v>
      </c>
      <c r="B43" s="22"/>
      <c r="C43" s="22"/>
      <c r="D43" s="22"/>
      <c r="E43" s="22"/>
      <c r="F43" s="22"/>
      <c r="G43" s="22"/>
      <c r="H43" s="22"/>
      <c r="I43" s="27">
        <f>IFERROR(IF($O$1&lt;&gt;"FILL","",IF($A43&gt;$P$1,IF(COUNTA($B43:$H43)&gt;0,"⚠ Past the program length — clear it or raise question 5",""),IF(COUNTA($B43:$H43)&lt;7,"⚠ Fill all 7 days (use REST for rest days)",IF(((COUNTIF(Lists!$A$2:$A$14,$B43)=0)+(COUNTIF(Lists!$A$2:$A$14,$C43)=0)+(COUNTIF(Lists!$A$2:$A$14,$D43)=0)+(COUNTIF(Lists!$A$2:$A$14,$E43)=0)+(COUNTIF(Lists!$A$2:$A$14,$F43)=0)+(COUNTIF(Lists!$A$2:$A$14,$G43)=0)+(COUNTIF(Lists!$A$2:$A$14,$H43)=0))&gt;0,"⚠ Unknown workout name — pick from the dropdown","✓")))),"⚠ Check this row")</f>
      </c>
    </row>
    <row r="44" spans="1:9" x14ac:dyDescent="0.25">
      <c r="A44" s="26">
        <v>39</v>
      </c>
      <c r="B44" s="22"/>
      <c r="C44" s="22"/>
      <c r="D44" s="22"/>
      <c r="E44" s="22"/>
      <c r="F44" s="22"/>
      <c r="G44" s="22"/>
      <c r="H44" s="22"/>
      <c r="I44" s="27">
        <f>IFERROR(IF($O$1&lt;&gt;"FILL","",IF($A44&gt;$P$1,IF(COUNTA($B44:$H44)&gt;0,"⚠ Past the program length — clear it or raise question 5",""),IF(COUNTA($B44:$H44)&lt;7,"⚠ Fill all 7 days (use REST for rest days)",IF(((COUNTIF(Lists!$A$2:$A$14,$B44)=0)+(COUNTIF(Lists!$A$2:$A$14,$C44)=0)+(COUNTIF(Lists!$A$2:$A$14,$D44)=0)+(COUNTIF(Lists!$A$2:$A$14,$E44)=0)+(COUNTIF(Lists!$A$2:$A$14,$F44)=0)+(COUNTIF(Lists!$A$2:$A$14,$G44)=0)+(COUNTIF(Lists!$A$2:$A$14,$H44)=0))&gt;0,"⚠ Unknown workout name — pick from the dropdown","✓")))),"⚠ Check this row")</f>
      </c>
    </row>
    <row r="45" spans="1:9" x14ac:dyDescent="0.25">
      <c r="A45" s="26">
        <v>40</v>
      </c>
      <c r="B45" s="22"/>
      <c r="C45" s="22"/>
      <c r="D45" s="22"/>
      <c r="E45" s="22"/>
      <c r="F45" s="22"/>
      <c r="G45" s="22"/>
      <c r="H45" s="22"/>
      <c r="I45" s="27">
        <f>IFERROR(IF($O$1&lt;&gt;"FILL","",IF($A45&gt;$P$1,IF(COUNTA($B45:$H45)&gt;0,"⚠ Past the program length — clear it or raise question 5",""),IF(COUNTA($B45:$H45)&lt;7,"⚠ Fill all 7 days (use REST for rest days)",IF(((COUNTIF(Lists!$A$2:$A$14,$B45)=0)+(COUNTIF(Lists!$A$2:$A$14,$C45)=0)+(COUNTIF(Lists!$A$2:$A$14,$D45)=0)+(COUNTIF(Lists!$A$2:$A$14,$E45)=0)+(COUNTIF(Lists!$A$2:$A$14,$F45)=0)+(COUNTIF(Lists!$A$2:$A$14,$G45)=0)+(COUNTIF(Lists!$A$2:$A$14,$H45)=0))&gt;0,"⚠ Unknown workout name — pick from the dropdown","✓")))),"⚠ Check this row")</f>
      </c>
    </row>
    <row r="46" spans="1:9" x14ac:dyDescent="0.25">
      <c r="A46" s="26">
        <v>41</v>
      </c>
      <c r="B46" s="22"/>
      <c r="C46" s="22"/>
      <c r="D46" s="22"/>
      <c r="E46" s="22"/>
      <c r="F46" s="22"/>
      <c r="G46" s="22"/>
      <c r="H46" s="22"/>
      <c r="I46" s="27">
        <f>IFERROR(IF($O$1&lt;&gt;"FILL","",IF($A46&gt;$P$1,IF(COUNTA($B46:$H46)&gt;0,"⚠ Past the program length — clear it or raise question 5",""),IF(COUNTA($B46:$H46)&lt;7,"⚠ Fill all 7 days (use REST for rest days)",IF(((COUNTIF(Lists!$A$2:$A$14,$B46)=0)+(COUNTIF(Lists!$A$2:$A$14,$C46)=0)+(COUNTIF(Lists!$A$2:$A$14,$D46)=0)+(COUNTIF(Lists!$A$2:$A$14,$E46)=0)+(COUNTIF(Lists!$A$2:$A$14,$F46)=0)+(COUNTIF(Lists!$A$2:$A$14,$G46)=0)+(COUNTIF(Lists!$A$2:$A$14,$H46)=0))&gt;0,"⚠ Unknown workout name — pick from the dropdown","✓")))),"⚠ Check this row")</f>
      </c>
    </row>
    <row r="47" spans="1:9" x14ac:dyDescent="0.25">
      <c r="A47" s="26">
        <v>42</v>
      </c>
      <c r="B47" s="22"/>
      <c r="C47" s="22"/>
      <c r="D47" s="22"/>
      <c r="E47" s="22"/>
      <c r="F47" s="22"/>
      <c r="G47" s="22"/>
      <c r="H47" s="22"/>
      <c r="I47" s="27">
        <f>IFERROR(IF($O$1&lt;&gt;"FILL","",IF($A47&gt;$P$1,IF(COUNTA($B47:$H47)&gt;0,"⚠ Past the program length — clear it or raise question 5",""),IF(COUNTA($B47:$H47)&lt;7,"⚠ Fill all 7 days (use REST for rest days)",IF(((COUNTIF(Lists!$A$2:$A$14,$B47)=0)+(COUNTIF(Lists!$A$2:$A$14,$C47)=0)+(COUNTIF(Lists!$A$2:$A$14,$D47)=0)+(COUNTIF(Lists!$A$2:$A$14,$E47)=0)+(COUNTIF(Lists!$A$2:$A$14,$F47)=0)+(COUNTIF(Lists!$A$2:$A$14,$G47)=0)+(COUNTIF(Lists!$A$2:$A$14,$H47)=0))&gt;0,"⚠ Unknown workout name — pick from the dropdown","✓")))),"⚠ Check this row")</f>
      </c>
    </row>
    <row r="48" spans="1:9" x14ac:dyDescent="0.25">
      <c r="A48" s="26">
        <v>43</v>
      </c>
      <c r="B48" s="22"/>
      <c r="C48" s="22"/>
      <c r="D48" s="22"/>
      <c r="E48" s="22"/>
      <c r="F48" s="22"/>
      <c r="G48" s="22"/>
      <c r="H48" s="22"/>
      <c r="I48" s="27">
        <f>IFERROR(IF($O$1&lt;&gt;"FILL","",IF($A48&gt;$P$1,IF(COUNTA($B48:$H48)&gt;0,"⚠ Past the program length — clear it or raise question 5",""),IF(COUNTA($B48:$H48)&lt;7,"⚠ Fill all 7 days (use REST for rest days)",IF(((COUNTIF(Lists!$A$2:$A$14,$B48)=0)+(COUNTIF(Lists!$A$2:$A$14,$C48)=0)+(COUNTIF(Lists!$A$2:$A$14,$D48)=0)+(COUNTIF(Lists!$A$2:$A$14,$E48)=0)+(COUNTIF(Lists!$A$2:$A$14,$F48)=0)+(COUNTIF(Lists!$A$2:$A$14,$G48)=0)+(COUNTIF(Lists!$A$2:$A$14,$H48)=0))&gt;0,"⚠ Unknown workout name — pick from the dropdown","✓")))),"⚠ Check this row")</f>
      </c>
    </row>
    <row r="49" spans="1:9" x14ac:dyDescent="0.25">
      <c r="A49" s="26">
        <v>44</v>
      </c>
      <c r="B49" s="22"/>
      <c r="C49" s="22"/>
      <c r="D49" s="22"/>
      <c r="E49" s="22"/>
      <c r="F49" s="22"/>
      <c r="G49" s="22"/>
      <c r="H49" s="22"/>
      <c r="I49" s="27">
        <f>IFERROR(IF($O$1&lt;&gt;"FILL","",IF($A49&gt;$P$1,IF(COUNTA($B49:$H49)&gt;0,"⚠ Past the program length — clear it or raise question 5",""),IF(COUNTA($B49:$H49)&lt;7,"⚠ Fill all 7 days (use REST for rest days)",IF(((COUNTIF(Lists!$A$2:$A$14,$B49)=0)+(COUNTIF(Lists!$A$2:$A$14,$C49)=0)+(COUNTIF(Lists!$A$2:$A$14,$D49)=0)+(COUNTIF(Lists!$A$2:$A$14,$E49)=0)+(COUNTIF(Lists!$A$2:$A$14,$F49)=0)+(COUNTIF(Lists!$A$2:$A$14,$G49)=0)+(COUNTIF(Lists!$A$2:$A$14,$H49)=0))&gt;0,"⚠ Unknown workout name — pick from the dropdown","✓")))),"⚠ Check this row")</f>
      </c>
    </row>
    <row r="50" spans="1:9" x14ac:dyDescent="0.25">
      <c r="A50" s="26">
        <v>45</v>
      </c>
      <c r="B50" s="22"/>
      <c r="C50" s="22"/>
      <c r="D50" s="22"/>
      <c r="E50" s="22"/>
      <c r="F50" s="22"/>
      <c r="G50" s="22"/>
      <c r="H50" s="22"/>
      <c r="I50" s="27">
        <f>IFERROR(IF($O$1&lt;&gt;"FILL","",IF($A50&gt;$P$1,IF(COUNTA($B50:$H50)&gt;0,"⚠ Past the program length — clear it or raise question 5",""),IF(COUNTA($B50:$H50)&lt;7,"⚠ Fill all 7 days (use REST for rest days)",IF(((COUNTIF(Lists!$A$2:$A$14,$B50)=0)+(COUNTIF(Lists!$A$2:$A$14,$C50)=0)+(COUNTIF(Lists!$A$2:$A$14,$D50)=0)+(COUNTIF(Lists!$A$2:$A$14,$E50)=0)+(COUNTIF(Lists!$A$2:$A$14,$F50)=0)+(COUNTIF(Lists!$A$2:$A$14,$G50)=0)+(COUNTIF(Lists!$A$2:$A$14,$H50)=0))&gt;0,"⚠ Unknown workout name — pick from the dropdown","✓")))),"⚠ Check this row")</f>
      </c>
    </row>
    <row r="51" spans="1:9" x14ac:dyDescent="0.25">
      <c r="A51" s="26">
        <v>46</v>
      </c>
      <c r="B51" s="22"/>
      <c r="C51" s="22"/>
      <c r="D51" s="22"/>
      <c r="E51" s="22"/>
      <c r="F51" s="22"/>
      <c r="G51" s="22"/>
      <c r="H51" s="22"/>
      <c r="I51" s="27">
        <f>IFERROR(IF($O$1&lt;&gt;"FILL","",IF($A51&gt;$P$1,IF(COUNTA($B51:$H51)&gt;0,"⚠ Past the program length — clear it or raise question 5",""),IF(COUNTA($B51:$H51)&lt;7,"⚠ Fill all 7 days (use REST for rest days)",IF(((COUNTIF(Lists!$A$2:$A$14,$B51)=0)+(COUNTIF(Lists!$A$2:$A$14,$C51)=0)+(COUNTIF(Lists!$A$2:$A$14,$D51)=0)+(COUNTIF(Lists!$A$2:$A$14,$E51)=0)+(COUNTIF(Lists!$A$2:$A$14,$F51)=0)+(COUNTIF(Lists!$A$2:$A$14,$G51)=0)+(COUNTIF(Lists!$A$2:$A$14,$H51)=0))&gt;0,"⚠ Unknown workout name — pick from the dropdown","✓")))),"⚠ Check this row")</f>
      </c>
    </row>
    <row r="52" spans="1:9" x14ac:dyDescent="0.25">
      <c r="A52" s="26">
        <v>47</v>
      </c>
      <c r="B52" s="22"/>
      <c r="C52" s="22"/>
      <c r="D52" s="22"/>
      <c r="E52" s="22"/>
      <c r="F52" s="22"/>
      <c r="G52" s="22"/>
      <c r="H52" s="22"/>
      <c r="I52" s="27">
        <f>IFERROR(IF($O$1&lt;&gt;"FILL","",IF($A52&gt;$P$1,IF(COUNTA($B52:$H52)&gt;0,"⚠ Past the program length — clear it or raise question 5",""),IF(COUNTA($B52:$H52)&lt;7,"⚠ Fill all 7 days (use REST for rest days)",IF(((COUNTIF(Lists!$A$2:$A$14,$B52)=0)+(COUNTIF(Lists!$A$2:$A$14,$C52)=0)+(COUNTIF(Lists!$A$2:$A$14,$D52)=0)+(COUNTIF(Lists!$A$2:$A$14,$E52)=0)+(COUNTIF(Lists!$A$2:$A$14,$F52)=0)+(COUNTIF(Lists!$A$2:$A$14,$G52)=0)+(COUNTIF(Lists!$A$2:$A$14,$H52)=0))&gt;0,"⚠ Unknown workout name — pick from the dropdown","✓")))),"⚠ Check this row")</f>
      </c>
    </row>
    <row r="53" spans="1:9" x14ac:dyDescent="0.25">
      <c r="A53" s="26">
        <v>48</v>
      </c>
      <c r="B53" s="22"/>
      <c r="C53" s="22"/>
      <c r="D53" s="22"/>
      <c r="E53" s="22"/>
      <c r="F53" s="22"/>
      <c r="G53" s="22"/>
      <c r="H53" s="22"/>
      <c r="I53" s="27">
        <f>IFERROR(IF($O$1&lt;&gt;"FILL","",IF($A53&gt;$P$1,IF(COUNTA($B53:$H53)&gt;0,"⚠ Past the program length — clear it or raise question 5",""),IF(COUNTA($B53:$H53)&lt;7,"⚠ Fill all 7 days (use REST for rest days)",IF(((COUNTIF(Lists!$A$2:$A$14,$B53)=0)+(COUNTIF(Lists!$A$2:$A$14,$C53)=0)+(COUNTIF(Lists!$A$2:$A$14,$D53)=0)+(COUNTIF(Lists!$A$2:$A$14,$E53)=0)+(COUNTIF(Lists!$A$2:$A$14,$F53)=0)+(COUNTIF(Lists!$A$2:$A$14,$G53)=0)+(COUNTIF(Lists!$A$2:$A$14,$H53)=0))&gt;0,"⚠ Unknown workout name — pick from the dropdown","✓")))),"⚠ Check this row")</f>
      </c>
    </row>
    <row r="54" spans="1:9" x14ac:dyDescent="0.25">
      <c r="A54" s="26">
        <v>49</v>
      </c>
      <c r="B54" s="22"/>
      <c r="C54" s="22"/>
      <c r="D54" s="22"/>
      <c r="E54" s="22"/>
      <c r="F54" s="22"/>
      <c r="G54" s="22"/>
      <c r="H54" s="22"/>
      <c r="I54" s="27">
        <f>IFERROR(IF($O$1&lt;&gt;"FILL","",IF($A54&gt;$P$1,IF(COUNTA($B54:$H54)&gt;0,"⚠ Past the program length — clear it or raise question 5",""),IF(COUNTA($B54:$H54)&lt;7,"⚠ Fill all 7 days (use REST for rest days)",IF(((COUNTIF(Lists!$A$2:$A$14,$B54)=0)+(COUNTIF(Lists!$A$2:$A$14,$C54)=0)+(COUNTIF(Lists!$A$2:$A$14,$D54)=0)+(COUNTIF(Lists!$A$2:$A$14,$E54)=0)+(COUNTIF(Lists!$A$2:$A$14,$F54)=0)+(COUNTIF(Lists!$A$2:$A$14,$G54)=0)+(COUNTIF(Lists!$A$2:$A$14,$H54)=0))&gt;0,"⚠ Unknown workout name — pick from the dropdown","✓")))),"⚠ Check this row")</f>
      </c>
    </row>
    <row r="55" spans="1:9" x14ac:dyDescent="0.25">
      <c r="A55" s="26">
        <v>50</v>
      </c>
      <c r="B55" s="22"/>
      <c r="C55" s="22"/>
      <c r="D55" s="22"/>
      <c r="E55" s="22"/>
      <c r="F55" s="22"/>
      <c r="G55" s="22"/>
      <c r="H55" s="22"/>
      <c r="I55" s="27">
        <f>IFERROR(IF($O$1&lt;&gt;"FILL","",IF($A55&gt;$P$1,IF(COUNTA($B55:$H55)&gt;0,"⚠ Past the program length — clear it or raise question 5",""),IF(COUNTA($B55:$H55)&lt;7,"⚠ Fill all 7 days (use REST for rest days)",IF(((COUNTIF(Lists!$A$2:$A$14,$B55)=0)+(COUNTIF(Lists!$A$2:$A$14,$C55)=0)+(COUNTIF(Lists!$A$2:$A$14,$D55)=0)+(COUNTIF(Lists!$A$2:$A$14,$E55)=0)+(COUNTIF(Lists!$A$2:$A$14,$F55)=0)+(COUNTIF(Lists!$A$2:$A$14,$G55)=0)+(COUNTIF(Lists!$A$2:$A$14,$H55)=0))&gt;0,"⚠ Unknown workout name — pick from the dropdown","✓")))),"⚠ Check this row")</f>
      </c>
    </row>
    <row r="56" spans="1:9" x14ac:dyDescent="0.25">
      <c r="A56" s="26">
        <v>51</v>
      </c>
      <c r="B56" s="22"/>
      <c r="C56" s="22"/>
      <c r="D56" s="22"/>
      <c r="E56" s="22"/>
      <c r="F56" s="22"/>
      <c r="G56" s="22"/>
      <c r="H56" s="22"/>
      <c r="I56" s="27">
        <f>IFERROR(IF($O$1&lt;&gt;"FILL","",IF($A56&gt;$P$1,IF(COUNTA($B56:$H56)&gt;0,"⚠ Past the program length — clear it or raise question 5",""),IF(COUNTA($B56:$H56)&lt;7,"⚠ Fill all 7 days (use REST for rest days)",IF(((COUNTIF(Lists!$A$2:$A$14,$B56)=0)+(COUNTIF(Lists!$A$2:$A$14,$C56)=0)+(COUNTIF(Lists!$A$2:$A$14,$D56)=0)+(COUNTIF(Lists!$A$2:$A$14,$E56)=0)+(COUNTIF(Lists!$A$2:$A$14,$F56)=0)+(COUNTIF(Lists!$A$2:$A$14,$G56)=0)+(COUNTIF(Lists!$A$2:$A$14,$H56)=0))&gt;0,"⚠ Unknown workout name — pick from the dropdown","✓")))),"⚠ Check this row")</f>
      </c>
    </row>
    <row r="57" spans="1:9" x14ac:dyDescent="0.25">
      <c r="A57" s="26">
        <v>52</v>
      </c>
      <c r="B57" s="22"/>
      <c r="C57" s="22"/>
      <c r="D57" s="22"/>
      <c r="E57" s="22"/>
      <c r="F57" s="22"/>
      <c r="G57" s="22"/>
      <c r="H57" s="22"/>
      <c r="I57" s="27">
        <f>IFERROR(IF($O$1&lt;&gt;"FILL","",IF($A57&gt;$P$1,IF(COUNTA($B57:$H57)&gt;0,"⚠ Past the program length — clear it or raise question 5",""),IF(COUNTA($B57:$H57)&lt;7,"⚠ Fill all 7 days (use REST for rest days)",IF(((COUNTIF(Lists!$A$2:$A$14,$B57)=0)+(COUNTIF(Lists!$A$2:$A$14,$C57)=0)+(COUNTIF(Lists!$A$2:$A$14,$D57)=0)+(COUNTIF(Lists!$A$2:$A$14,$E57)=0)+(COUNTIF(Lists!$A$2:$A$14,$F57)=0)+(COUNTIF(Lists!$A$2:$A$14,$G57)=0)+(COUNTIF(Lists!$A$2:$A$14,$H57)=0))&gt;0,"⚠ Unknown workout name — pick from the dropdown","✓")))),"⚠ Check this row")</f>
      </c>
    </row>
  </sheetData>
  <mergeCells count="2">
    <mergeCell ref="A1:I1"/>
    <mergeCell ref="A3:I3"/>
  </mergeCells>
  <conditionalFormatting sqref="A1:I1">
    <cfRule type="expression" dxfId="81" priority="1">
      <formula>$O$1="FILL"</formula>
    </cfRule>
    <cfRule type="expression" dxfId="82" priority="2">
      <formula>$O$1="SKIP"</formula>
    </cfRule>
    <cfRule type="expression" dxfId="83" priority="3">
      <formula>$O$1=""</formula>
    </cfRule>
  </conditionalFormatting>
  <conditionalFormatting sqref="A6:H57">
    <cfRule type="expression" dxfId="84" priority="1">
      <formula>OR($O$1&lt;&gt;"FILL",$A6&gt;$P$1)</formula>
    </cfRule>
    <cfRule type="expression" dxfId="85" priority="2">
      <formula>A6="REST"</formula>
    </cfRule>
  </conditionalFormatting>
  <conditionalFormatting sqref="I6:I57">
    <cfRule type="expression" dxfId="86" priority="1">
      <formula>LEFT(I6,1)="⚠"</formula>
    </cfRule>
    <cfRule type="expression" dxfId="87" priority="2">
      <formula>LEFT(I6,1)="✓"</formula>
    </cfRule>
  </conditionalFormatting>
  <dataValidations count="1">
    <dataValidation type="list" allowBlank="1" showErrorMessage="1" errorStyle="stop" errorTitle="Pick from the list" error="Choose one of the options in the dropdown." sqref="B6:H57">
      <formula1>Lists!$A$2:$A$14</formula1>
    </dataValidation>
  </dataValidation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08080"/>
  </sheetPr>
  <dimension ref="A1:D319"/>
  <sheetViews>
    <sheetView workbookViewId="0">
      <pane ySplit="1" topLeftCell="A2" activePane="bottomLeft" state="frozen"/>
      <selection pane="bottomLeft"/>
    </sheetView>
  </sheetViews>
  <sheetFormatPr defaultRowHeight="15" outlineLevelRow="0" outlineLevelCol="0" x14ac:dyDescent="55"/>
  <cols>
    <col min="1" max="1" width="8" customWidth="1"/>
    <col min="2" max="2" width="44" customWidth="1"/>
    <col min="3" max="3" width="16" customWidth="1"/>
    <col min="4" max="4" width="12" customWidth="1"/>
  </cols>
  <sheetData>
    <row r="1" ht="32" customHeight="1" spans="1:4" x14ac:dyDescent="0.25">
      <c r="A1" s="7" t="s">
        <v>79</v>
      </c>
      <c r="B1" s="7" t="s">
        <v>80</v>
      </c>
      <c r="C1" s="7" t="s">
        <v>81</v>
      </c>
      <c r="D1" s="7" t="s">
        <v>82</v>
      </c>
    </row>
    <row r="2" spans="1:4" s="28" customFormat="1" x14ac:dyDescent="0.25">
      <c r="A2" s="28">
        <v>410</v>
      </c>
      <c r="B2" s="28" t="s">
        <v>83</v>
      </c>
      <c r="C2" s="28" t="s">
        <v>84</v>
      </c>
      <c r="D2" s="28" t="s">
        <v>85</v>
      </c>
    </row>
    <row r="3" spans="1:4" s="28" customFormat="1" x14ac:dyDescent="0.25">
      <c r="A3" s="28">
        <v>671</v>
      </c>
      <c r="B3" s="28" t="s">
        <v>86</v>
      </c>
      <c r="C3" s="28" t="s">
        <v>87</v>
      </c>
      <c r="D3" s="28" t="s">
        <v>85</v>
      </c>
    </row>
    <row r="4" spans="1:4" s="28" customFormat="1" x14ac:dyDescent="0.25">
      <c r="A4" s="28">
        <v>409</v>
      </c>
      <c r="B4" s="28" t="s">
        <v>88</v>
      </c>
      <c r="C4" s="28" t="s">
        <v>87</v>
      </c>
      <c r="D4" s="28" t="s">
        <v>85</v>
      </c>
    </row>
    <row r="5" spans="1:4" s="28" customFormat="1" x14ac:dyDescent="0.25">
      <c r="A5" s="28">
        <v>332</v>
      </c>
      <c r="B5" s="28" t="s">
        <v>89</v>
      </c>
      <c r="C5" s="28" t="s">
        <v>90</v>
      </c>
      <c r="D5" s="28" t="s">
        <v>85</v>
      </c>
    </row>
    <row r="6" spans="1:4" s="28" customFormat="1" x14ac:dyDescent="0.25">
      <c r="A6" s="28">
        <v>118</v>
      </c>
      <c r="B6" s="28" t="s">
        <v>91</v>
      </c>
      <c r="C6" s="28" t="s">
        <v>90</v>
      </c>
      <c r="D6" s="28" t="s">
        <v>85</v>
      </c>
    </row>
    <row r="7" spans="1:4" s="28" customFormat="1" x14ac:dyDescent="0.25">
      <c r="A7" s="28">
        <v>678</v>
      </c>
      <c r="B7" s="28" t="s">
        <v>92</v>
      </c>
      <c r="C7" s="28" t="s">
        <v>93</v>
      </c>
      <c r="D7" s="28" t="s">
        <v>85</v>
      </c>
    </row>
    <row r="8" spans="1:4" s="28" customFormat="1" x14ac:dyDescent="0.25">
      <c r="A8" s="28">
        <v>653</v>
      </c>
      <c r="B8" s="28" t="s">
        <v>94</v>
      </c>
      <c r="C8" s="28" t="s">
        <v>95</v>
      </c>
      <c r="D8" s="28" t="s">
        <v>85</v>
      </c>
    </row>
    <row r="9" spans="1:4" s="28" customFormat="1" x14ac:dyDescent="0.25">
      <c r="A9" s="28">
        <v>642</v>
      </c>
      <c r="B9" s="28" t="s">
        <v>96</v>
      </c>
      <c r="C9" s="28" t="s">
        <v>84</v>
      </c>
      <c r="D9" s="28" t="s">
        <v>85</v>
      </c>
    </row>
    <row r="10" spans="1:4" s="28" customFormat="1" x14ac:dyDescent="0.25">
      <c r="A10" s="28">
        <v>144</v>
      </c>
      <c r="B10" s="28" t="s">
        <v>97</v>
      </c>
      <c r="C10" s="28" t="s">
        <v>84</v>
      </c>
      <c r="D10" s="28" t="s">
        <v>85</v>
      </c>
    </row>
    <row r="11" spans="1:4" s="28" customFormat="1" x14ac:dyDescent="0.25">
      <c r="A11" s="28">
        <v>178</v>
      </c>
      <c r="B11" s="28" t="s">
        <v>98</v>
      </c>
      <c r="C11" s="28" t="s">
        <v>99</v>
      </c>
      <c r="D11" s="28" t="s">
        <v>85</v>
      </c>
    </row>
    <row r="12" spans="1:4" s="28" customFormat="1" x14ac:dyDescent="0.25">
      <c r="A12" s="28">
        <v>463</v>
      </c>
      <c r="B12" s="28" t="s">
        <v>100</v>
      </c>
      <c r="C12" s="28" t="s">
        <v>101</v>
      </c>
      <c r="D12" s="28" t="s">
        <v>85</v>
      </c>
    </row>
    <row r="13" spans="1:4" s="28" customFormat="1" x14ac:dyDescent="0.25">
      <c r="A13" s="28">
        <v>487</v>
      </c>
      <c r="B13" s="28" t="s">
        <v>102</v>
      </c>
      <c r="C13" s="28" t="s">
        <v>84</v>
      </c>
      <c r="D13" s="28" t="s">
        <v>85</v>
      </c>
    </row>
    <row r="14" spans="1:4" s="28" customFormat="1" x14ac:dyDescent="0.25">
      <c r="A14" s="28">
        <v>509</v>
      </c>
      <c r="B14" s="28" t="s">
        <v>103</v>
      </c>
      <c r="C14" s="28" t="s">
        <v>104</v>
      </c>
      <c r="D14" s="28" t="s">
        <v>85</v>
      </c>
    </row>
    <row r="15" spans="1:4" s="28" customFormat="1" x14ac:dyDescent="0.25">
      <c r="A15" s="28">
        <v>524</v>
      </c>
      <c r="B15" s="28" t="s">
        <v>105</v>
      </c>
      <c r="C15" s="28" t="s">
        <v>90</v>
      </c>
      <c r="D15" s="28" t="s">
        <v>85</v>
      </c>
    </row>
    <row r="16" spans="1:4" s="28" customFormat="1" x14ac:dyDescent="0.25">
      <c r="A16" s="28">
        <v>536</v>
      </c>
      <c r="B16" s="28" t="s">
        <v>106</v>
      </c>
      <c r="C16" s="28" t="s">
        <v>95</v>
      </c>
      <c r="D16" s="28" t="s">
        <v>85</v>
      </c>
    </row>
    <row r="17" spans="1:4" s="28" customFormat="1" x14ac:dyDescent="0.25">
      <c r="A17" s="28">
        <v>216</v>
      </c>
      <c r="B17" s="28" t="s">
        <v>107</v>
      </c>
      <c r="C17" s="28" t="s">
        <v>108</v>
      </c>
      <c r="D17" s="28" t="s">
        <v>85</v>
      </c>
    </row>
    <row r="18" spans="1:4" s="28" customFormat="1" x14ac:dyDescent="0.25">
      <c r="A18" s="28">
        <v>555</v>
      </c>
      <c r="B18" s="28" t="s">
        <v>109</v>
      </c>
      <c r="C18" s="28" t="s">
        <v>108</v>
      </c>
      <c r="D18" s="28" t="s">
        <v>85</v>
      </c>
    </row>
    <row r="19" spans="1:4" s="28" customFormat="1" x14ac:dyDescent="0.25">
      <c r="A19" s="28">
        <v>552</v>
      </c>
      <c r="B19" s="28" t="s">
        <v>110</v>
      </c>
      <c r="C19" s="28" t="s">
        <v>108</v>
      </c>
      <c r="D19" s="28" t="s">
        <v>85</v>
      </c>
    </row>
    <row r="20" spans="1:4" s="28" customFormat="1" x14ac:dyDescent="0.25">
      <c r="A20" s="28">
        <v>563</v>
      </c>
      <c r="B20" s="28" t="s">
        <v>111</v>
      </c>
      <c r="C20" s="28" t="s">
        <v>108</v>
      </c>
      <c r="D20" s="28" t="s">
        <v>85</v>
      </c>
    </row>
    <row r="21" spans="1:4" s="28" customFormat="1" x14ac:dyDescent="0.25">
      <c r="A21" s="28">
        <v>550</v>
      </c>
      <c r="B21" s="28" t="s">
        <v>112</v>
      </c>
      <c r="C21" s="28" t="s">
        <v>108</v>
      </c>
      <c r="D21" s="28" t="s">
        <v>85</v>
      </c>
    </row>
    <row r="22" spans="1:4" s="28" customFormat="1" x14ac:dyDescent="0.25">
      <c r="A22" s="28">
        <v>571</v>
      </c>
      <c r="B22" s="28" t="s">
        <v>113</v>
      </c>
      <c r="C22" s="28" t="s">
        <v>108</v>
      </c>
      <c r="D22" s="28" t="s">
        <v>85</v>
      </c>
    </row>
    <row r="23" spans="1:4" s="28" customFormat="1" x14ac:dyDescent="0.25">
      <c r="A23" s="28">
        <v>566</v>
      </c>
      <c r="B23" s="28" t="s">
        <v>114</v>
      </c>
      <c r="C23" s="28" t="s">
        <v>108</v>
      </c>
      <c r="D23" s="28" t="s">
        <v>85</v>
      </c>
    </row>
    <row r="24" spans="1:4" s="28" customFormat="1" x14ac:dyDescent="0.25">
      <c r="A24" s="28">
        <v>255</v>
      </c>
      <c r="B24" s="28" t="s">
        <v>115</v>
      </c>
      <c r="C24" s="28" t="s">
        <v>95</v>
      </c>
      <c r="D24" s="28" t="s">
        <v>85</v>
      </c>
    </row>
    <row r="25" spans="1:4" s="28" customFormat="1" x14ac:dyDescent="0.25">
      <c r="A25" s="28">
        <v>277</v>
      </c>
      <c r="B25" s="28" t="s">
        <v>116</v>
      </c>
      <c r="C25" s="28" t="s">
        <v>90</v>
      </c>
      <c r="D25" s="28" t="s">
        <v>85</v>
      </c>
    </row>
    <row r="26" spans="1:4" s="28" customFormat="1" x14ac:dyDescent="0.25">
      <c r="A26" s="28">
        <v>558</v>
      </c>
      <c r="B26" s="28" t="s">
        <v>117</v>
      </c>
      <c r="C26" s="28" t="s">
        <v>108</v>
      </c>
      <c r="D26" s="28" t="s">
        <v>85</v>
      </c>
    </row>
    <row r="27" spans="1:4" s="28" customFormat="1" x14ac:dyDescent="0.25">
      <c r="A27" s="28">
        <v>465</v>
      </c>
      <c r="B27" s="28" t="s">
        <v>118</v>
      </c>
      <c r="C27" s="28" t="s">
        <v>90</v>
      </c>
      <c r="D27" s="28" t="s">
        <v>85</v>
      </c>
    </row>
    <row r="28" spans="1:4" s="28" customFormat="1" x14ac:dyDescent="0.25">
      <c r="A28" s="28">
        <v>101</v>
      </c>
      <c r="B28" s="28" t="s">
        <v>119</v>
      </c>
      <c r="C28" s="28" t="s">
        <v>104</v>
      </c>
      <c r="D28" s="28" t="s">
        <v>85</v>
      </c>
    </row>
    <row r="29" spans="1:4" s="28" customFormat="1" x14ac:dyDescent="0.25">
      <c r="A29" s="28">
        <v>336</v>
      </c>
      <c r="B29" s="28" t="s">
        <v>120</v>
      </c>
      <c r="C29" s="28" t="s">
        <v>84</v>
      </c>
      <c r="D29" s="28" t="s">
        <v>85</v>
      </c>
    </row>
    <row r="30" spans="1:4" s="28" customFormat="1" x14ac:dyDescent="0.25">
      <c r="A30" s="28">
        <v>150</v>
      </c>
      <c r="B30" s="28" t="s">
        <v>121</v>
      </c>
      <c r="C30" s="28" t="s">
        <v>101</v>
      </c>
      <c r="D30" s="28" t="s">
        <v>85</v>
      </c>
    </row>
    <row r="31" spans="1:4" s="28" customFormat="1" x14ac:dyDescent="0.25">
      <c r="A31" s="28">
        <v>440</v>
      </c>
      <c r="B31" s="28" t="s">
        <v>122</v>
      </c>
      <c r="C31" s="28" t="s">
        <v>95</v>
      </c>
      <c r="D31" s="28" t="s">
        <v>85</v>
      </c>
    </row>
    <row r="32" spans="1:4" s="28" customFormat="1" x14ac:dyDescent="0.25">
      <c r="A32" s="28">
        <v>350</v>
      </c>
      <c r="B32" s="28" t="s">
        <v>123</v>
      </c>
      <c r="C32" s="28" t="s">
        <v>90</v>
      </c>
      <c r="D32" s="28" t="s">
        <v>85</v>
      </c>
    </row>
    <row r="33" spans="1:4" s="28" customFormat="1" x14ac:dyDescent="0.25">
      <c r="A33" s="28">
        <v>205</v>
      </c>
      <c r="B33" s="28" t="s">
        <v>124</v>
      </c>
      <c r="C33" s="28" t="s">
        <v>108</v>
      </c>
      <c r="D33" s="28" t="s">
        <v>85</v>
      </c>
    </row>
    <row r="34" spans="1:4" s="28" customFormat="1" x14ac:dyDescent="0.25">
      <c r="A34" s="28">
        <v>219</v>
      </c>
      <c r="B34" s="28" t="s">
        <v>125</v>
      </c>
      <c r="C34" s="28" t="s">
        <v>99</v>
      </c>
      <c r="D34" s="28" t="s">
        <v>85</v>
      </c>
    </row>
    <row r="35" spans="1:4" s="28" customFormat="1" x14ac:dyDescent="0.25">
      <c r="A35" s="28">
        <v>339</v>
      </c>
      <c r="B35" s="28" t="s">
        <v>126</v>
      </c>
      <c r="C35" s="28" t="s">
        <v>101</v>
      </c>
      <c r="D35" s="28" t="s">
        <v>85</v>
      </c>
    </row>
    <row r="36" spans="1:4" s="28" customFormat="1" x14ac:dyDescent="0.25">
      <c r="A36" s="28">
        <v>551</v>
      </c>
      <c r="B36" s="28" t="s">
        <v>127</v>
      </c>
      <c r="C36" s="28" t="s">
        <v>128</v>
      </c>
      <c r="D36" s="28" t="s">
        <v>85</v>
      </c>
    </row>
    <row r="37" spans="1:4" s="28" customFormat="1" x14ac:dyDescent="0.25">
      <c r="A37" s="28">
        <v>331</v>
      </c>
      <c r="B37" s="28" t="s">
        <v>129</v>
      </c>
      <c r="C37" s="28" t="s">
        <v>90</v>
      </c>
      <c r="D37" s="28" t="s">
        <v>85</v>
      </c>
    </row>
    <row r="38" spans="1:4" s="28" customFormat="1" x14ac:dyDescent="0.25">
      <c r="A38" s="28">
        <v>338</v>
      </c>
      <c r="B38" s="28" t="s">
        <v>130</v>
      </c>
      <c r="C38" s="28" t="s">
        <v>131</v>
      </c>
      <c r="D38" s="28" t="s">
        <v>85</v>
      </c>
    </row>
    <row r="39" spans="1:4" s="28" customFormat="1" x14ac:dyDescent="0.25">
      <c r="A39" s="28">
        <v>557</v>
      </c>
      <c r="B39" s="28" t="s">
        <v>132</v>
      </c>
      <c r="C39" s="28" t="s">
        <v>108</v>
      </c>
      <c r="D39" s="28" t="s">
        <v>85</v>
      </c>
    </row>
    <row r="40" spans="1:4" s="28" customFormat="1" x14ac:dyDescent="0.25">
      <c r="A40" s="28">
        <v>341</v>
      </c>
      <c r="B40" s="28" t="s">
        <v>133</v>
      </c>
      <c r="C40" s="28" t="s">
        <v>134</v>
      </c>
      <c r="D40" s="28" t="s">
        <v>85</v>
      </c>
    </row>
    <row r="41" spans="1:4" s="28" customFormat="1" x14ac:dyDescent="0.25">
      <c r="A41" s="28">
        <v>249</v>
      </c>
      <c r="B41" s="28" t="s">
        <v>135</v>
      </c>
      <c r="C41" s="28" t="s">
        <v>93</v>
      </c>
      <c r="D41" s="28" t="s">
        <v>85</v>
      </c>
    </row>
    <row r="42" spans="1:4" s="28" customFormat="1" x14ac:dyDescent="0.25">
      <c r="A42" s="28">
        <v>614</v>
      </c>
      <c r="B42" s="28" t="s">
        <v>136</v>
      </c>
      <c r="C42" s="28" t="s">
        <v>101</v>
      </c>
      <c r="D42" s="28" t="s">
        <v>85</v>
      </c>
    </row>
    <row r="43" spans="1:4" s="28" customFormat="1" x14ac:dyDescent="0.25">
      <c r="A43" s="28">
        <v>367</v>
      </c>
      <c r="B43" s="28" t="s">
        <v>137</v>
      </c>
      <c r="C43" s="28" t="s">
        <v>134</v>
      </c>
      <c r="D43" s="28" t="s">
        <v>85</v>
      </c>
    </row>
    <row r="44" spans="1:4" s="28" customFormat="1" x14ac:dyDescent="0.25">
      <c r="A44" s="28">
        <v>376</v>
      </c>
      <c r="B44" s="28" t="s">
        <v>138</v>
      </c>
      <c r="C44" s="28" t="s">
        <v>84</v>
      </c>
      <c r="D44" s="28" t="s">
        <v>85</v>
      </c>
    </row>
    <row r="45" spans="1:4" s="28" customFormat="1" x14ac:dyDescent="0.25">
      <c r="A45" s="28">
        <v>611</v>
      </c>
      <c r="B45" s="28" t="s">
        <v>139</v>
      </c>
      <c r="C45" s="28" t="s">
        <v>99</v>
      </c>
      <c r="D45" s="28" t="s">
        <v>85</v>
      </c>
    </row>
    <row r="46" spans="1:4" s="28" customFormat="1" x14ac:dyDescent="0.25">
      <c r="A46" s="28">
        <v>389</v>
      </c>
      <c r="B46" s="28" t="s">
        <v>140</v>
      </c>
      <c r="C46" s="28" t="s">
        <v>95</v>
      </c>
      <c r="D46" s="28" t="s">
        <v>85</v>
      </c>
    </row>
    <row r="47" spans="1:4" s="28" customFormat="1" x14ac:dyDescent="0.25">
      <c r="A47" s="28">
        <v>423</v>
      </c>
      <c r="B47" s="28" t="s">
        <v>141</v>
      </c>
      <c r="C47" s="28" t="s">
        <v>87</v>
      </c>
      <c r="D47" s="28" t="s">
        <v>85</v>
      </c>
    </row>
    <row r="48" spans="1:4" s="28" customFormat="1" x14ac:dyDescent="0.25">
      <c r="A48" s="28">
        <v>672</v>
      </c>
      <c r="B48" s="28" t="s">
        <v>142</v>
      </c>
      <c r="C48" s="28" t="s">
        <v>87</v>
      </c>
      <c r="D48" s="28" t="s">
        <v>85</v>
      </c>
    </row>
    <row r="49" spans="1:4" s="28" customFormat="1" x14ac:dyDescent="0.25">
      <c r="A49" s="28">
        <v>501</v>
      </c>
      <c r="B49" s="28" t="s">
        <v>143</v>
      </c>
      <c r="C49" s="28" t="s">
        <v>95</v>
      </c>
      <c r="D49" s="28" t="s">
        <v>85</v>
      </c>
    </row>
    <row r="50" spans="1:4" s="28" customFormat="1" x14ac:dyDescent="0.25">
      <c r="A50" s="28">
        <v>192</v>
      </c>
      <c r="B50" s="28" t="s">
        <v>144</v>
      </c>
      <c r="C50" s="28" t="s">
        <v>93</v>
      </c>
      <c r="D50" s="28" t="s">
        <v>85</v>
      </c>
    </row>
    <row r="51" spans="1:4" s="28" customFormat="1" x14ac:dyDescent="0.25">
      <c r="A51" s="28">
        <v>610</v>
      </c>
      <c r="B51" s="28" t="s">
        <v>145</v>
      </c>
      <c r="C51" s="28" t="s">
        <v>99</v>
      </c>
      <c r="D51" s="28" t="s">
        <v>85</v>
      </c>
    </row>
    <row r="52" spans="1:4" s="28" customFormat="1" x14ac:dyDescent="0.25">
      <c r="A52" s="28">
        <v>188</v>
      </c>
      <c r="B52" s="28" t="s">
        <v>146</v>
      </c>
      <c r="C52" s="28" t="s">
        <v>99</v>
      </c>
      <c r="D52" s="28" t="s">
        <v>85</v>
      </c>
    </row>
    <row r="53" spans="1:4" s="28" customFormat="1" x14ac:dyDescent="0.25">
      <c r="A53" s="28">
        <v>544</v>
      </c>
      <c r="B53" s="28" t="s">
        <v>147</v>
      </c>
      <c r="C53" s="28" t="s">
        <v>93</v>
      </c>
      <c r="D53" s="28" t="s">
        <v>85</v>
      </c>
    </row>
    <row r="54" spans="1:4" s="28" customFormat="1" x14ac:dyDescent="0.25">
      <c r="A54" s="28">
        <v>312</v>
      </c>
      <c r="B54" s="28" t="s">
        <v>148</v>
      </c>
      <c r="C54" s="28" t="s">
        <v>104</v>
      </c>
      <c r="D54" s="28" t="s">
        <v>85</v>
      </c>
    </row>
    <row r="55" spans="1:4" s="28" customFormat="1" x14ac:dyDescent="0.25">
      <c r="A55" s="28">
        <v>262</v>
      </c>
      <c r="B55" s="28" t="s">
        <v>149</v>
      </c>
      <c r="C55" s="28" t="s">
        <v>104</v>
      </c>
      <c r="D55" s="28" t="s">
        <v>85</v>
      </c>
    </row>
    <row r="56" spans="1:4" s="28" customFormat="1" x14ac:dyDescent="0.25">
      <c r="A56" s="28">
        <v>407</v>
      </c>
      <c r="B56" s="28" t="s">
        <v>150</v>
      </c>
      <c r="C56" s="28" t="s">
        <v>104</v>
      </c>
      <c r="D56" s="28" t="s">
        <v>85</v>
      </c>
    </row>
    <row r="57" spans="1:4" s="28" customFormat="1" x14ac:dyDescent="0.25">
      <c r="A57" s="28">
        <v>344</v>
      </c>
      <c r="B57" s="28" t="s">
        <v>151</v>
      </c>
      <c r="C57" s="28" t="s">
        <v>104</v>
      </c>
      <c r="D57" s="28" t="s">
        <v>85</v>
      </c>
    </row>
    <row r="58" spans="1:4" s="28" customFormat="1" x14ac:dyDescent="0.25">
      <c r="A58" s="28">
        <v>368</v>
      </c>
      <c r="B58" s="28" t="s">
        <v>152</v>
      </c>
      <c r="C58" s="28" t="s">
        <v>104</v>
      </c>
      <c r="D58" s="28" t="s">
        <v>85</v>
      </c>
    </row>
    <row r="59" spans="1:4" s="28" customFormat="1" x14ac:dyDescent="0.25">
      <c r="A59" s="28">
        <v>238</v>
      </c>
      <c r="B59" s="28" t="s">
        <v>153</v>
      </c>
      <c r="C59" s="28" t="s">
        <v>87</v>
      </c>
      <c r="D59" s="28" t="s">
        <v>85</v>
      </c>
    </row>
    <row r="60" spans="1:4" s="28" customFormat="1" x14ac:dyDescent="0.25">
      <c r="A60" s="28">
        <v>160</v>
      </c>
      <c r="B60" s="28" t="s">
        <v>154</v>
      </c>
      <c r="C60" s="28" t="s">
        <v>101</v>
      </c>
      <c r="D60" s="28" t="s">
        <v>85</v>
      </c>
    </row>
    <row r="61" spans="1:4" s="28" customFormat="1" x14ac:dyDescent="0.25">
      <c r="A61" s="28">
        <v>374</v>
      </c>
      <c r="B61" s="28" t="s">
        <v>155</v>
      </c>
      <c r="C61" s="28" t="s">
        <v>90</v>
      </c>
      <c r="D61" s="28" t="s">
        <v>85</v>
      </c>
    </row>
    <row r="62" spans="1:4" s="28" customFormat="1" x14ac:dyDescent="0.25">
      <c r="A62" s="28">
        <v>210</v>
      </c>
      <c r="B62" s="28" t="s">
        <v>156</v>
      </c>
      <c r="C62" s="28" t="s">
        <v>108</v>
      </c>
      <c r="D62" s="28" t="s">
        <v>85</v>
      </c>
    </row>
    <row r="63" spans="1:4" s="28" customFormat="1" x14ac:dyDescent="0.25">
      <c r="A63" s="28">
        <v>233</v>
      </c>
      <c r="B63" s="28" t="s">
        <v>157</v>
      </c>
      <c r="C63" s="28" t="s">
        <v>108</v>
      </c>
      <c r="D63" s="28" t="s">
        <v>85</v>
      </c>
    </row>
    <row r="64" spans="1:4" s="28" customFormat="1" x14ac:dyDescent="0.25">
      <c r="A64" s="28">
        <v>234</v>
      </c>
      <c r="B64" s="28" t="s">
        <v>158</v>
      </c>
      <c r="C64" s="28" t="s">
        <v>159</v>
      </c>
      <c r="D64" s="28" t="s">
        <v>85</v>
      </c>
    </row>
    <row r="65" spans="1:4" s="28" customFormat="1" x14ac:dyDescent="0.25">
      <c r="A65" s="28">
        <v>122</v>
      </c>
      <c r="B65" s="28" t="s">
        <v>160</v>
      </c>
      <c r="C65" s="28" t="s">
        <v>90</v>
      </c>
      <c r="D65" s="28" t="s">
        <v>85</v>
      </c>
    </row>
    <row r="66" spans="1:4" s="28" customFormat="1" x14ac:dyDescent="0.25">
      <c r="A66" s="28">
        <v>203</v>
      </c>
      <c r="B66" s="28" t="s">
        <v>161</v>
      </c>
      <c r="C66" s="28" t="s">
        <v>128</v>
      </c>
      <c r="D66" s="28" t="s">
        <v>85</v>
      </c>
    </row>
    <row r="67" spans="1:4" s="28" customFormat="1" x14ac:dyDescent="0.25">
      <c r="A67" s="28">
        <v>429</v>
      </c>
      <c r="B67" s="28" t="s">
        <v>162</v>
      </c>
      <c r="C67" s="28" t="s">
        <v>90</v>
      </c>
      <c r="D67" s="28" t="s">
        <v>85</v>
      </c>
    </row>
    <row r="68" spans="1:4" s="28" customFormat="1" x14ac:dyDescent="0.25">
      <c r="A68" s="28">
        <v>425</v>
      </c>
      <c r="B68" s="28" t="s">
        <v>163</v>
      </c>
      <c r="C68" s="28" t="s">
        <v>84</v>
      </c>
      <c r="D68" s="28" t="s">
        <v>85</v>
      </c>
    </row>
    <row r="69" spans="1:4" s="28" customFormat="1" x14ac:dyDescent="0.25">
      <c r="A69" s="28">
        <v>149</v>
      </c>
      <c r="B69" s="28" t="s">
        <v>164</v>
      </c>
      <c r="C69" s="28" t="s">
        <v>131</v>
      </c>
      <c r="D69" s="28" t="s">
        <v>85</v>
      </c>
    </row>
    <row r="70" spans="1:4" s="28" customFormat="1" x14ac:dyDescent="0.25">
      <c r="A70" s="28">
        <v>354</v>
      </c>
      <c r="B70" s="28" t="s">
        <v>165</v>
      </c>
      <c r="C70" s="28" t="s">
        <v>84</v>
      </c>
      <c r="D70" s="28" t="s">
        <v>85</v>
      </c>
    </row>
    <row r="71" spans="1:4" s="28" customFormat="1" x14ac:dyDescent="0.25">
      <c r="A71" s="28">
        <v>395</v>
      </c>
      <c r="B71" s="28" t="s">
        <v>166</v>
      </c>
      <c r="C71" s="28" t="s">
        <v>95</v>
      </c>
      <c r="D71" s="28" t="s">
        <v>85</v>
      </c>
    </row>
    <row r="72" spans="1:4" s="28" customFormat="1" x14ac:dyDescent="0.25">
      <c r="A72" s="28">
        <v>167</v>
      </c>
      <c r="B72" s="28" t="s">
        <v>167</v>
      </c>
      <c r="C72" s="28" t="s">
        <v>95</v>
      </c>
      <c r="D72" s="28" t="s">
        <v>85</v>
      </c>
    </row>
    <row r="73" spans="1:4" s="28" customFormat="1" x14ac:dyDescent="0.25">
      <c r="A73" s="28">
        <v>422</v>
      </c>
      <c r="B73" s="28" t="s">
        <v>168</v>
      </c>
      <c r="C73" s="28" t="s">
        <v>95</v>
      </c>
      <c r="D73" s="28" t="s">
        <v>85</v>
      </c>
    </row>
    <row r="74" spans="1:4" s="28" customFormat="1" x14ac:dyDescent="0.25">
      <c r="A74" s="28">
        <v>373</v>
      </c>
      <c r="B74" s="28" t="s">
        <v>169</v>
      </c>
      <c r="C74" s="28" t="s">
        <v>87</v>
      </c>
      <c r="D74" s="28" t="s">
        <v>85</v>
      </c>
    </row>
    <row r="75" spans="1:4" s="28" customFormat="1" x14ac:dyDescent="0.25">
      <c r="A75" s="28">
        <v>687</v>
      </c>
      <c r="B75" s="28" t="s">
        <v>170</v>
      </c>
      <c r="C75" s="28" t="s">
        <v>134</v>
      </c>
      <c r="D75" s="28" t="s">
        <v>85</v>
      </c>
    </row>
    <row r="76" spans="1:4" s="28" customFormat="1" x14ac:dyDescent="0.25">
      <c r="A76" s="28">
        <v>646</v>
      </c>
      <c r="B76" s="28" t="s">
        <v>171</v>
      </c>
      <c r="C76" s="28" t="s">
        <v>90</v>
      </c>
      <c r="D76" s="28" t="s">
        <v>85</v>
      </c>
    </row>
    <row r="77" spans="1:4" s="28" customFormat="1" x14ac:dyDescent="0.25">
      <c r="A77" s="28">
        <v>109</v>
      </c>
      <c r="B77" s="28" t="s">
        <v>172</v>
      </c>
      <c r="C77" s="28" t="s">
        <v>104</v>
      </c>
      <c r="D77" s="28" t="s">
        <v>85</v>
      </c>
    </row>
    <row r="78" spans="1:4" s="28" customFormat="1" x14ac:dyDescent="0.25">
      <c r="A78" s="28">
        <v>606</v>
      </c>
      <c r="B78" s="28" t="s">
        <v>173</v>
      </c>
      <c r="C78" s="28" t="s">
        <v>84</v>
      </c>
      <c r="D78" s="28" t="s">
        <v>85</v>
      </c>
    </row>
    <row r="79" spans="1:4" s="28" customFormat="1" x14ac:dyDescent="0.25">
      <c r="A79" s="28">
        <v>444</v>
      </c>
      <c r="B79" s="28" t="s">
        <v>174</v>
      </c>
      <c r="C79" s="28" t="s">
        <v>84</v>
      </c>
      <c r="D79" s="28" t="s">
        <v>85</v>
      </c>
    </row>
    <row r="80" spans="1:4" s="28" customFormat="1" x14ac:dyDescent="0.25">
      <c r="A80" s="28">
        <v>512</v>
      </c>
      <c r="B80" s="28" t="s">
        <v>175</v>
      </c>
      <c r="C80" s="28" t="s">
        <v>101</v>
      </c>
      <c r="D80" s="28" t="s">
        <v>85</v>
      </c>
    </row>
    <row r="81" spans="1:4" s="28" customFormat="1" x14ac:dyDescent="0.25">
      <c r="A81" s="28">
        <v>135</v>
      </c>
      <c r="B81" s="28" t="s">
        <v>176</v>
      </c>
      <c r="C81" s="28" t="s">
        <v>84</v>
      </c>
      <c r="D81" s="28" t="s">
        <v>85</v>
      </c>
    </row>
    <row r="82" spans="1:4" s="28" customFormat="1" x14ac:dyDescent="0.25">
      <c r="A82" s="28">
        <v>467</v>
      </c>
      <c r="B82" s="28" t="s">
        <v>177</v>
      </c>
      <c r="C82" s="28" t="s">
        <v>90</v>
      </c>
      <c r="D82" s="28" t="s">
        <v>85</v>
      </c>
    </row>
    <row r="83" spans="1:4" s="28" customFormat="1" x14ac:dyDescent="0.25">
      <c r="A83" s="28">
        <v>521</v>
      </c>
      <c r="B83" s="28" t="s">
        <v>178</v>
      </c>
      <c r="C83" s="28" t="s">
        <v>87</v>
      </c>
      <c r="D83" s="28" t="s">
        <v>179</v>
      </c>
    </row>
    <row r="84" spans="1:4" s="28" customFormat="1" x14ac:dyDescent="0.25">
      <c r="A84" s="28">
        <v>114</v>
      </c>
      <c r="B84" s="28" t="s">
        <v>180</v>
      </c>
      <c r="C84" s="28" t="s">
        <v>104</v>
      </c>
      <c r="D84" s="28" t="s">
        <v>85</v>
      </c>
    </row>
    <row r="85" spans="1:4" s="28" customFormat="1" x14ac:dyDescent="0.25">
      <c r="A85" s="28">
        <v>583</v>
      </c>
      <c r="B85" s="28" t="s">
        <v>181</v>
      </c>
      <c r="C85" s="28" t="s">
        <v>95</v>
      </c>
      <c r="D85" s="28" t="s">
        <v>85</v>
      </c>
    </row>
    <row r="86" spans="1:4" s="28" customFormat="1" x14ac:dyDescent="0.25">
      <c r="A86" s="28">
        <v>113</v>
      </c>
      <c r="B86" s="28" t="s">
        <v>182</v>
      </c>
      <c r="C86" s="28" t="s">
        <v>104</v>
      </c>
      <c r="D86" s="28" t="s">
        <v>85</v>
      </c>
    </row>
    <row r="87" spans="1:4" s="28" customFormat="1" x14ac:dyDescent="0.25">
      <c r="A87" s="28">
        <v>439</v>
      </c>
      <c r="B87" s="28" t="s">
        <v>183</v>
      </c>
      <c r="C87" s="28" t="s">
        <v>95</v>
      </c>
      <c r="D87" s="28" t="s">
        <v>85</v>
      </c>
    </row>
    <row r="88" spans="1:4" s="28" customFormat="1" x14ac:dyDescent="0.25">
      <c r="A88" s="28">
        <v>163</v>
      </c>
      <c r="B88" s="28" t="s">
        <v>184</v>
      </c>
      <c r="C88" s="28" t="s">
        <v>101</v>
      </c>
      <c r="D88" s="28" t="s">
        <v>85</v>
      </c>
    </row>
    <row r="89" spans="1:4" s="28" customFormat="1" x14ac:dyDescent="0.25">
      <c r="A89" s="28">
        <v>657</v>
      </c>
      <c r="B89" s="28" t="s">
        <v>185</v>
      </c>
      <c r="C89" s="28" t="s">
        <v>99</v>
      </c>
      <c r="D89" s="28" t="s">
        <v>85</v>
      </c>
    </row>
    <row r="90" spans="1:4" s="28" customFormat="1" x14ac:dyDescent="0.25">
      <c r="A90" s="28">
        <v>649</v>
      </c>
      <c r="B90" s="28" t="s">
        <v>186</v>
      </c>
      <c r="C90" s="28" t="s">
        <v>101</v>
      </c>
      <c r="D90" s="28" t="s">
        <v>85</v>
      </c>
    </row>
    <row r="91" spans="1:4" s="28" customFormat="1" x14ac:dyDescent="0.25">
      <c r="A91" s="28">
        <v>630</v>
      </c>
      <c r="B91" s="28" t="s">
        <v>187</v>
      </c>
      <c r="C91" s="28" t="s">
        <v>104</v>
      </c>
      <c r="D91" s="28" t="s">
        <v>85</v>
      </c>
    </row>
    <row r="92" spans="1:4" s="28" customFormat="1" x14ac:dyDescent="0.25">
      <c r="A92" s="28">
        <v>348</v>
      </c>
      <c r="B92" s="28" t="s">
        <v>188</v>
      </c>
      <c r="C92" s="28" t="s">
        <v>87</v>
      </c>
      <c r="D92" s="28" t="s">
        <v>85</v>
      </c>
    </row>
    <row r="93" spans="1:4" s="28" customFormat="1" x14ac:dyDescent="0.25">
      <c r="A93" s="28">
        <v>641</v>
      </c>
      <c r="B93" s="28" t="s">
        <v>189</v>
      </c>
      <c r="C93" s="28" t="s">
        <v>104</v>
      </c>
      <c r="D93" s="28" t="s">
        <v>85</v>
      </c>
    </row>
    <row r="94" spans="1:4" s="28" customFormat="1" x14ac:dyDescent="0.25">
      <c r="A94" s="28">
        <v>648</v>
      </c>
      <c r="B94" s="28" t="s">
        <v>190</v>
      </c>
      <c r="C94" s="28" t="s">
        <v>90</v>
      </c>
      <c r="D94" s="28" t="s">
        <v>85</v>
      </c>
    </row>
    <row r="95" spans="1:4" s="28" customFormat="1" x14ac:dyDescent="0.25">
      <c r="A95" s="28">
        <v>663</v>
      </c>
      <c r="B95" s="28" t="s">
        <v>191</v>
      </c>
      <c r="C95" s="28" t="s">
        <v>108</v>
      </c>
      <c r="D95" s="28" t="s">
        <v>85</v>
      </c>
    </row>
    <row r="96" spans="1:4" s="28" customFormat="1" x14ac:dyDescent="0.25">
      <c r="A96" s="28">
        <v>519</v>
      </c>
      <c r="B96" s="28" t="s">
        <v>192</v>
      </c>
      <c r="C96" s="28" t="s">
        <v>101</v>
      </c>
      <c r="D96" s="28" t="s">
        <v>85</v>
      </c>
    </row>
    <row r="97" spans="1:4" s="28" customFormat="1" x14ac:dyDescent="0.25">
      <c r="A97" s="28">
        <v>625</v>
      </c>
      <c r="B97" s="28" t="s">
        <v>193</v>
      </c>
      <c r="C97" s="28" t="s">
        <v>90</v>
      </c>
      <c r="D97" s="28" t="s">
        <v>85</v>
      </c>
    </row>
    <row r="98" spans="1:4" s="28" customFormat="1" x14ac:dyDescent="0.25">
      <c r="A98" s="28">
        <v>485</v>
      </c>
      <c r="B98" s="28" t="s">
        <v>194</v>
      </c>
      <c r="C98" s="28" t="s">
        <v>101</v>
      </c>
      <c r="D98" s="28" t="s">
        <v>85</v>
      </c>
    </row>
    <row r="99" spans="1:4" s="28" customFormat="1" x14ac:dyDescent="0.25">
      <c r="A99" s="28">
        <v>549</v>
      </c>
      <c r="B99" s="28" t="s">
        <v>195</v>
      </c>
      <c r="C99" s="28" t="s">
        <v>95</v>
      </c>
      <c r="D99" s="28" t="s">
        <v>85</v>
      </c>
    </row>
    <row r="100" spans="1:4" s="28" customFormat="1" x14ac:dyDescent="0.25">
      <c r="A100" s="28">
        <v>244</v>
      </c>
      <c r="B100" s="28" t="s">
        <v>196</v>
      </c>
      <c r="C100" s="28" t="s">
        <v>87</v>
      </c>
      <c r="D100" s="28" t="s">
        <v>85</v>
      </c>
    </row>
    <row r="101" spans="1:4" s="28" customFormat="1" x14ac:dyDescent="0.25">
      <c r="A101" s="28">
        <v>685</v>
      </c>
      <c r="B101" s="28" t="s">
        <v>197</v>
      </c>
      <c r="C101" s="28" t="s">
        <v>134</v>
      </c>
      <c r="D101" s="28" t="s">
        <v>85</v>
      </c>
    </row>
    <row r="102" spans="1:4" s="28" customFormat="1" x14ac:dyDescent="0.25">
      <c r="A102" s="28">
        <v>145</v>
      </c>
      <c r="B102" s="28" t="s">
        <v>198</v>
      </c>
      <c r="C102" s="28" t="s">
        <v>84</v>
      </c>
      <c r="D102" s="28" t="s">
        <v>85</v>
      </c>
    </row>
    <row r="103" spans="1:4" s="28" customFormat="1" x14ac:dyDescent="0.25">
      <c r="A103" s="28">
        <v>259</v>
      </c>
      <c r="B103" s="28" t="s">
        <v>199</v>
      </c>
      <c r="C103" s="28" t="s">
        <v>104</v>
      </c>
      <c r="D103" s="28" t="s">
        <v>85</v>
      </c>
    </row>
    <row r="104" spans="1:4" s="28" customFormat="1" x14ac:dyDescent="0.25">
      <c r="A104" s="28">
        <v>359</v>
      </c>
      <c r="B104" s="28" t="s">
        <v>200</v>
      </c>
      <c r="C104" s="28" t="s">
        <v>104</v>
      </c>
      <c r="D104" s="28" t="s">
        <v>85</v>
      </c>
    </row>
    <row r="105" spans="1:4" s="28" customFormat="1" x14ac:dyDescent="0.25">
      <c r="A105" s="28">
        <v>605</v>
      </c>
      <c r="B105" s="28" t="s">
        <v>201</v>
      </c>
      <c r="C105" s="28" t="s">
        <v>87</v>
      </c>
      <c r="D105" s="28" t="s">
        <v>85</v>
      </c>
    </row>
    <row r="106" spans="1:4" s="28" customFormat="1" x14ac:dyDescent="0.25">
      <c r="A106" s="28">
        <v>329</v>
      </c>
      <c r="B106" s="28" t="s">
        <v>202</v>
      </c>
      <c r="C106" s="28" t="s">
        <v>104</v>
      </c>
      <c r="D106" s="28" t="s">
        <v>85</v>
      </c>
    </row>
    <row r="107" spans="1:4" s="28" customFormat="1" x14ac:dyDescent="0.25">
      <c r="A107" s="28">
        <v>568</v>
      </c>
      <c r="B107" s="28" t="s">
        <v>203</v>
      </c>
      <c r="C107" s="28" t="s">
        <v>128</v>
      </c>
      <c r="D107" s="28" t="s">
        <v>85</v>
      </c>
    </row>
    <row r="108" spans="1:4" s="28" customFormat="1" x14ac:dyDescent="0.25">
      <c r="A108" s="28">
        <v>564</v>
      </c>
      <c r="B108" s="28" t="s">
        <v>204</v>
      </c>
      <c r="C108" s="28" t="s">
        <v>99</v>
      </c>
      <c r="D108" s="28" t="s">
        <v>85</v>
      </c>
    </row>
    <row r="109" spans="1:4" s="28" customFormat="1" x14ac:dyDescent="0.25">
      <c r="A109" s="28">
        <v>562</v>
      </c>
      <c r="B109" s="28" t="s">
        <v>205</v>
      </c>
      <c r="C109" s="28" t="s">
        <v>108</v>
      </c>
      <c r="D109" s="28" t="s">
        <v>85</v>
      </c>
    </row>
    <row r="110" spans="1:4" s="28" customFormat="1" x14ac:dyDescent="0.25">
      <c r="A110" s="28">
        <v>175</v>
      </c>
      <c r="B110" s="28" t="s">
        <v>206</v>
      </c>
      <c r="C110" s="28" t="s">
        <v>95</v>
      </c>
      <c r="D110" s="28" t="s">
        <v>85</v>
      </c>
    </row>
    <row r="111" spans="1:4" s="28" customFormat="1" x14ac:dyDescent="0.25">
      <c r="A111" s="28">
        <v>466</v>
      </c>
      <c r="B111" s="28" t="s">
        <v>207</v>
      </c>
      <c r="C111" s="28" t="s">
        <v>104</v>
      </c>
      <c r="D111" s="28" t="s">
        <v>85</v>
      </c>
    </row>
    <row r="112" spans="1:4" s="28" customFormat="1" x14ac:dyDescent="0.25">
      <c r="A112" s="28">
        <v>673</v>
      </c>
      <c r="B112" s="28" t="s">
        <v>208</v>
      </c>
      <c r="C112" s="28" t="s">
        <v>87</v>
      </c>
      <c r="D112" s="28" t="s">
        <v>85</v>
      </c>
    </row>
    <row r="113" spans="1:4" s="28" customFormat="1" x14ac:dyDescent="0.25">
      <c r="A113" s="28">
        <v>104</v>
      </c>
      <c r="B113" s="28" t="s">
        <v>209</v>
      </c>
      <c r="C113" s="28" t="s">
        <v>104</v>
      </c>
      <c r="D113" s="28" t="s">
        <v>85</v>
      </c>
    </row>
    <row r="114" spans="1:4" s="28" customFormat="1" x14ac:dyDescent="0.25">
      <c r="A114" s="28">
        <v>351</v>
      </c>
      <c r="B114" s="28" t="s">
        <v>210</v>
      </c>
      <c r="C114" s="28" t="s">
        <v>90</v>
      </c>
      <c r="D114" s="28" t="s">
        <v>85</v>
      </c>
    </row>
    <row r="115" spans="1:4" s="28" customFormat="1" x14ac:dyDescent="0.25">
      <c r="A115" s="28">
        <v>153</v>
      </c>
      <c r="B115" s="28" t="s">
        <v>211</v>
      </c>
      <c r="C115" s="28" t="s">
        <v>101</v>
      </c>
      <c r="D115" s="28" t="s">
        <v>85</v>
      </c>
    </row>
    <row r="116" spans="1:4" s="28" customFormat="1" x14ac:dyDescent="0.25">
      <c r="A116" s="28">
        <v>681</v>
      </c>
      <c r="B116" s="28" t="s">
        <v>212</v>
      </c>
      <c r="C116" s="28" t="s">
        <v>104</v>
      </c>
      <c r="D116" s="28" t="s">
        <v>85</v>
      </c>
    </row>
    <row r="117" spans="1:4" s="28" customFormat="1" x14ac:dyDescent="0.25">
      <c r="A117" s="28">
        <v>640</v>
      </c>
      <c r="B117" s="28" t="s">
        <v>213</v>
      </c>
      <c r="C117" s="28" t="s">
        <v>104</v>
      </c>
      <c r="D117" s="28" t="s">
        <v>85</v>
      </c>
    </row>
    <row r="118" spans="1:4" s="28" customFormat="1" x14ac:dyDescent="0.25">
      <c r="A118" s="28">
        <v>343</v>
      </c>
      <c r="B118" s="28" t="s">
        <v>214</v>
      </c>
      <c r="C118" s="28" t="s">
        <v>104</v>
      </c>
      <c r="D118" s="28" t="s">
        <v>85</v>
      </c>
    </row>
    <row r="119" spans="1:4" s="28" customFormat="1" x14ac:dyDescent="0.25">
      <c r="A119" s="28">
        <v>123</v>
      </c>
      <c r="B119" s="28" t="s">
        <v>215</v>
      </c>
      <c r="C119" s="28" t="s">
        <v>90</v>
      </c>
      <c r="D119" s="28" t="s">
        <v>85</v>
      </c>
    </row>
    <row r="120" spans="1:4" s="28" customFormat="1" x14ac:dyDescent="0.25">
      <c r="A120" s="28">
        <v>209</v>
      </c>
      <c r="B120" s="28" t="s">
        <v>216</v>
      </c>
      <c r="C120" s="28" t="s">
        <v>108</v>
      </c>
      <c r="D120" s="28" t="s">
        <v>85</v>
      </c>
    </row>
    <row r="121" spans="1:4" s="28" customFormat="1" x14ac:dyDescent="0.25">
      <c r="A121" s="28">
        <v>380</v>
      </c>
      <c r="B121" s="28" t="s">
        <v>217</v>
      </c>
      <c r="C121" s="28" t="s">
        <v>101</v>
      </c>
      <c r="D121" s="28" t="s">
        <v>85</v>
      </c>
    </row>
    <row r="122" spans="1:4" s="28" customFormat="1" x14ac:dyDescent="0.25">
      <c r="A122" s="28">
        <v>408</v>
      </c>
      <c r="B122" s="28" t="s">
        <v>218</v>
      </c>
      <c r="C122" s="28" t="s">
        <v>95</v>
      </c>
      <c r="D122" s="28" t="s">
        <v>85</v>
      </c>
    </row>
    <row r="123" spans="1:4" s="28" customFormat="1" x14ac:dyDescent="0.25">
      <c r="A123" s="28">
        <v>390</v>
      </c>
      <c r="B123" s="28" t="s">
        <v>219</v>
      </c>
      <c r="C123" s="28" t="s">
        <v>95</v>
      </c>
      <c r="D123" s="28" t="s">
        <v>85</v>
      </c>
    </row>
    <row r="124" spans="1:4" s="28" customFormat="1" x14ac:dyDescent="0.25">
      <c r="A124" s="28">
        <v>121</v>
      </c>
      <c r="B124" s="28" t="s">
        <v>220</v>
      </c>
      <c r="C124" s="28" t="s">
        <v>90</v>
      </c>
      <c r="D124" s="28" t="s">
        <v>85</v>
      </c>
    </row>
    <row r="125" spans="1:4" s="28" customFormat="1" x14ac:dyDescent="0.25">
      <c r="A125" s="28">
        <v>443</v>
      </c>
      <c r="B125" s="28" t="s">
        <v>221</v>
      </c>
      <c r="C125" s="28" t="s">
        <v>84</v>
      </c>
      <c r="D125" s="28" t="s">
        <v>85</v>
      </c>
    </row>
    <row r="126" spans="1:4" s="28" customFormat="1" x14ac:dyDescent="0.25">
      <c r="A126" s="28">
        <v>416</v>
      </c>
      <c r="B126" s="28" t="s">
        <v>222</v>
      </c>
      <c r="C126" s="28" t="s">
        <v>101</v>
      </c>
      <c r="D126" s="28" t="s">
        <v>85</v>
      </c>
    </row>
    <row r="127" spans="1:4" s="28" customFormat="1" x14ac:dyDescent="0.25">
      <c r="A127" s="28">
        <v>457</v>
      </c>
      <c r="B127" s="28" t="s">
        <v>223</v>
      </c>
      <c r="C127" s="28" t="s">
        <v>101</v>
      </c>
      <c r="D127" s="28" t="s">
        <v>85</v>
      </c>
    </row>
    <row r="128" spans="1:4" s="28" customFormat="1" x14ac:dyDescent="0.25">
      <c r="A128" s="28">
        <v>124</v>
      </c>
      <c r="B128" s="28" t="s">
        <v>224</v>
      </c>
      <c r="C128" s="28" t="s">
        <v>90</v>
      </c>
      <c r="D128" s="28" t="s">
        <v>85</v>
      </c>
    </row>
    <row r="129" spans="1:4" s="28" customFormat="1" x14ac:dyDescent="0.25">
      <c r="A129" s="28">
        <v>195</v>
      </c>
      <c r="B129" s="28" t="s">
        <v>225</v>
      </c>
      <c r="C129" s="28" t="s">
        <v>128</v>
      </c>
      <c r="D129" s="28" t="s">
        <v>85</v>
      </c>
    </row>
    <row r="130" spans="1:4" s="28" customFormat="1" x14ac:dyDescent="0.25">
      <c r="A130" s="28">
        <v>252</v>
      </c>
      <c r="B130" s="28" t="s">
        <v>226</v>
      </c>
      <c r="C130" s="28" t="s">
        <v>90</v>
      </c>
      <c r="D130" s="28" t="s">
        <v>85</v>
      </c>
    </row>
    <row r="131" spans="1:4" s="28" customFormat="1" x14ac:dyDescent="0.25">
      <c r="A131" s="28">
        <v>378</v>
      </c>
      <c r="B131" s="28" t="s">
        <v>227</v>
      </c>
      <c r="C131" s="28" t="s">
        <v>131</v>
      </c>
      <c r="D131" s="28" t="s">
        <v>85</v>
      </c>
    </row>
    <row r="132" spans="1:4" s="28" customFormat="1" x14ac:dyDescent="0.25">
      <c r="A132" s="28">
        <v>218</v>
      </c>
      <c r="B132" s="28" t="s">
        <v>228</v>
      </c>
      <c r="C132" s="28" t="s">
        <v>108</v>
      </c>
      <c r="D132" s="28" t="s">
        <v>85</v>
      </c>
    </row>
    <row r="133" spans="1:4" s="28" customFormat="1" x14ac:dyDescent="0.25">
      <c r="A133" s="28">
        <v>206</v>
      </c>
      <c r="B133" s="28" t="s">
        <v>229</v>
      </c>
      <c r="C133" s="28" t="s">
        <v>108</v>
      </c>
      <c r="D133" s="28" t="s">
        <v>85</v>
      </c>
    </row>
    <row r="134" spans="1:4" s="28" customFormat="1" x14ac:dyDescent="0.25">
      <c r="A134" s="28">
        <v>447</v>
      </c>
      <c r="B134" s="28" t="s">
        <v>230</v>
      </c>
      <c r="C134" s="28" t="s">
        <v>101</v>
      </c>
      <c r="D134" s="28" t="s">
        <v>85</v>
      </c>
    </row>
    <row r="135" spans="1:4" s="28" customFormat="1" x14ac:dyDescent="0.25">
      <c r="A135" s="28">
        <v>397</v>
      </c>
      <c r="B135" s="28" t="s">
        <v>231</v>
      </c>
      <c r="C135" s="28" t="s">
        <v>95</v>
      </c>
      <c r="D135" s="28" t="s">
        <v>85</v>
      </c>
    </row>
    <row r="136" spans="1:4" s="28" customFormat="1" x14ac:dyDescent="0.25">
      <c r="A136" s="28">
        <v>363</v>
      </c>
      <c r="B136" s="28" t="s">
        <v>232</v>
      </c>
      <c r="C136" s="28" t="s">
        <v>90</v>
      </c>
      <c r="D136" s="28" t="s">
        <v>85</v>
      </c>
    </row>
    <row r="137" spans="1:4" s="28" customFormat="1" x14ac:dyDescent="0.25">
      <c r="A137" s="28">
        <v>404</v>
      </c>
      <c r="B137" s="28" t="s">
        <v>233</v>
      </c>
      <c r="C137" s="28" t="s">
        <v>99</v>
      </c>
      <c r="D137" s="28" t="s">
        <v>85</v>
      </c>
    </row>
    <row r="138" spans="1:4" s="28" customFormat="1" x14ac:dyDescent="0.25">
      <c r="A138" s="28">
        <v>631</v>
      </c>
      <c r="B138" s="28" t="s">
        <v>234</v>
      </c>
      <c r="C138" s="28" t="s">
        <v>101</v>
      </c>
      <c r="D138" s="28" t="s">
        <v>85</v>
      </c>
    </row>
    <row r="139" spans="1:4" s="28" customFormat="1" x14ac:dyDescent="0.25">
      <c r="A139" s="28">
        <v>686</v>
      </c>
      <c r="B139" s="28" t="s">
        <v>235</v>
      </c>
      <c r="C139" s="28" t="s">
        <v>134</v>
      </c>
      <c r="D139" s="28" t="s">
        <v>85</v>
      </c>
    </row>
    <row r="140" spans="1:4" s="28" customFormat="1" x14ac:dyDescent="0.25">
      <c r="A140" s="28">
        <v>441</v>
      </c>
      <c r="B140" s="28" t="s">
        <v>236</v>
      </c>
      <c r="C140" s="28" t="s">
        <v>90</v>
      </c>
      <c r="D140" s="28" t="s">
        <v>85</v>
      </c>
    </row>
    <row r="141" spans="1:4" s="28" customFormat="1" x14ac:dyDescent="0.25">
      <c r="A141" s="28">
        <v>590</v>
      </c>
      <c r="B141" s="28" t="s">
        <v>237</v>
      </c>
      <c r="C141" s="28" t="s">
        <v>93</v>
      </c>
      <c r="D141" s="28" t="s">
        <v>85</v>
      </c>
    </row>
    <row r="142" spans="1:4" s="28" customFormat="1" x14ac:dyDescent="0.25">
      <c r="A142" s="28">
        <v>152</v>
      </c>
      <c r="B142" s="28" t="s">
        <v>238</v>
      </c>
      <c r="C142" s="28" t="s">
        <v>101</v>
      </c>
      <c r="D142" s="28" t="s">
        <v>85</v>
      </c>
    </row>
    <row r="143" spans="1:4" s="28" customFormat="1" x14ac:dyDescent="0.25">
      <c r="A143" s="28">
        <v>651</v>
      </c>
      <c r="B143" s="28" t="s">
        <v>239</v>
      </c>
      <c r="C143" s="28" t="s">
        <v>101</v>
      </c>
      <c r="D143" s="28" t="s">
        <v>85</v>
      </c>
    </row>
    <row r="144" spans="1:4" s="28" customFormat="1" x14ac:dyDescent="0.25">
      <c r="A144" s="28">
        <v>172</v>
      </c>
      <c r="B144" s="28" t="s">
        <v>240</v>
      </c>
      <c r="C144" s="28" t="s">
        <v>95</v>
      </c>
      <c r="D144" s="28" t="s">
        <v>85</v>
      </c>
    </row>
    <row r="145" spans="1:4" s="28" customFormat="1" x14ac:dyDescent="0.25">
      <c r="A145" s="28">
        <v>127</v>
      </c>
      <c r="B145" s="28" t="s">
        <v>241</v>
      </c>
      <c r="C145" s="28" t="s">
        <v>90</v>
      </c>
      <c r="D145" s="28" t="s">
        <v>85</v>
      </c>
    </row>
    <row r="146" spans="1:4" s="28" customFormat="1" x14ac:dyDescent="0.25">
      <c r="A146" s="28">
        <v>379</v>
      </c>
      <c r="B146" s="28" t="s">
        <v>242</v>
      </c>
      <c r="C146" s="28" t="s">
        <v>101</v>
      </c>
      <c r="D146" s="28" t="s">
        <v>85</v>
      </c>
    </row>
    <row r="147" spans="1:4" s="28" customFormat="1" x14ac:dyDescent="0.25">
      <c r="A147" s="28">
        <v>158</v>
      </c>
      <c r="B147" s="28" t="s">
        <v>243</v>
      </c>
      <c r="C147" s="28" t="s">
        <v>101</v>
      </c>
      <c r="D147" s="28" t="s">
        <v>85</v>
      </c>
    </row>
    <row r="148" spans="1:4" s="28" customFormat="1" x14ac:dyDescent="0.25">
      <c r="A148" s="28">
        <v>126</v>
      </c>
      <c r="B148" s="28" t="s">
        <v>244</v>
      </c>
      <c r="C148" s="28" t="s">
        <v>90</v>
      </c>
      <c r="D148" s="28" t="s">
        <v>85</v>
      </c>
    </row>
    <row r="149" spans="1:4" s="28" customFormat="1" x14ac:dyDescent="0.25">
      <c r="A149" s="28">
        <v>598</v>
      </c>
      <c r="B149" s="28" t="s">
        <v>245</v>
      </c>
      <c r="C149" s="28" t="s">
        <v>134</v>
      </c>
      <c r="D149" s="28" t="s">
        <v>85</v>
      </c>
    </row>
    <row r="150" spans="1:4" s="28" customFormat="1" x14ac:dyDescent="0.25">
      <c r="A150" s="28">
        <v>670</v>
      </c>
      <c r="B150" s="28" t="s">
        <v>246</v>
      </c>
      <c r="C150" s="28" t="s">
        <v>87</v>
      </c>
      <c r="D150" s="28" t="s">
        <v>85</v>
      </c>
    </row>
    <row r="151" spans="1:4" s="28" customFormat="1" x14ac:dyDescent="0.25">
      <c r="A151" s="28">
        <v>388</v>
      </c>
      <c r="B151" s="28" t="s">
        <v>247</v>
      </c>
      <c r="C151" s="28" t="s">
        <v>95</v>
      </c>
      <c r="D151" s="28" t="s">
        <v>85</v>
      </c>
    </row>
    <row r="152" spans="1:4" s="28" customFormat="1" x14ac:dyDescent="0.25">
      <c r="A152" s="28">
        <v>215</v>
      </c>
      <c r="B152" s="28" t="s">
        <v>248</v>
      </c>
      <c r="C152" s="28" t="s">
        <v>108</v>
      </c>
      <c r="D152" s="28" t="s">
        <v>85</v>
      </c>
    </row>
    <row r="153" spans="1:4" s="28" customFormat="1" x14ac:dyDescent="0.25">
      <c r="A153" s="28">
        <v>180</v>
      </c>
      <c r="B153" s="28" t="s">
        <v>249</v>
      </c>
      <c r="C153" s="28" t="s">
        <v>99</v>
      </c>
      <c r="D153" s="28" t="s">
        <v>85</v>
      </c>
    </row>
    <row r="154" spans="1:4" s="28" customFormat="1" x14ac:dyDescent="0.25">
      <c r="A154" s="28">
        <v>208</v>
      </c>
      <c r="B154" s="28" t="s">
        <v>250</v>
      </c>
      <c r="C154" s="28" t="s">
        <v>108</v>
      </c>
      <c r="D154" s="28" t="s">
        <v>85</v>
      </c>
    </row>
    <row r="155" spans="1:4" s="28" customFormat="1" x14ac:dyDescent="0.25">
      <c r="A155" s="28">
        <v>511</v>
      </c>
      <c r="B155" s="28" t="s">
        <v>251</v>
      </c>
      <c r="C155" s="28" t="s">
        <v>108</v>
      </c>
      <c r="D155" s="28" t="s">
        <v>85</v>
      </c>
    </row>
    <row r="156" spans="1:4" s="28" customFormat="1" x14ac:dyDescent="0.25">
      <c r="A156" s="28">
        <v>661</v>
      </c>
      <c r="B156" s="28" t="s">
        <v>252</v>
      </c>
      <c r="C156" s="28" t="s">
        <v>108</v>
      </c>
      <c r="D156" s="28" t="s">
        <v>85</v>
      </c>
    </row>
    <row r="157" spans="1:4" s="28" customFormat="1" x14ac:dyDescent="0.25">
      <c r="A157" s="28">
        <v>565</v>
      </c>
      <c r="B157" s="28" t="s">
        <v>253</v>
      </c>
      <c r="C157" s="28" t="s">
        <v>128</v>
      </c>
      <c r="D157" s="28" t="s">
        <v>85</v>
      </c>
    </row>
    <row r="158" spans="1:4" s="28" customFormat="1" x14ac:dyDescent="0.25">
      <c r="A158" s="28">
        <v>181</v>
      </c>
      <c r="B158" s="28" t="s">
        <v>254</v>
      </c>
      <c r="C158" s="28" t="s">
        <v>99</v>
      </c>
      <c r="D158" s="28" t="s">
        <v>85</v>
      </c>
    </row>
    <row r="159" spans="1:4" s="28" customFormat="1" x14ac:dyDescent="0.25">
      <c r="A159" s="28">
        <v>197</v>
      </c>
      <c r="B159" s="28" t="s">
        <v>255</v>
      </c>
      <c r="C159" s="28" t="s">
        <v>128</v>
      </c>
      <c r="D159" s="28" t="s">
        <v>85</v>
      </c>
    </row>
    <row r="160" spans="1:4" s="28" customFormat="1" x14ac:dyDescent="0.25">
      <c r="A160" s="28">
        <v>182</v>
      </c>
      <c r="B160" s="28" t="s">
        <v>256</v>
      </c>
      <c r="C160" s="28" t="s">
        <v>99</v>
      </c>
      <c r="D160" s="28" t="s">
        <v>85</v>
      </c>
    </row>
    <row r="161" spans="1:4" s="28" customFormat="1" x14ac:dyDescent="0.25">
      <c r="A161" s="28">
        <v>585</v>
      </c>
      <c r="B161" s="28" t="s">
        <v>257</v>
      </c>
      <c r="C161" s="28" t="s">
        <v>84</v>
      </c>
      <c r="D161" s="28" t="s">
        <v>85</v>
      </c>
    </row>
    <row r="162" spans="1:4" s="28" customFormat="1" x14ac:dyDescent="0.25">
      <c r="A162" s="28">
        <v>587</v>
      </c>
      <c r="B162" s="28" t="s">
        <v>258</v>
      </c>
      <c r="C162" s="28" t="s">
        <v>90</v>
      </c>
      <c r="D162" s="28" t="s">
        <v>85</v>
      </c>
    </row>
    <row r="163" spans="1:4" s="28" customFormat="1" x14ac:dyDescent="0.25">
      <c r="A163" s="28">
        <v>523</v>
      </c>
      <c r="B163" s="28" t="s">
        <v>259</v>
      </c>
      <c r="C163" s="28" t="s">
        <v>87</v>
      </c>
      <c r="D163" s="28" t="s">
        <v>85</v>
      </c>
    </row>
    <row r="164" spans="1:4" s="28" customFormat="1" x14ac:dyDescent="0.25">
      <c r="A164" s="28">
        <v>666</v>
      </c>
      <c r="B164" s="28" t="s">
        <v>260</v>
      </c>
      <c r="C164" s="28" t="s">
        <v>87</v>
      </c>
      <c r="D164" s="28" t="s">
        <v>85</v>
      </c>
    </row>
    <row r="165" spans="1:4" s="28" customFormat="1" x14ac:dyDescent="0.25">
      <c r="A165" s="28">
        <v>361</v>
      </c>
      <c r="B165" s="28" t="s">
        <v>261</v>
      </c>
      <c r="C165" s="28" t="s">
        <v>87</v>
      </c>
      <c r="D165" s="28" t="s">
        <v>85</v>
      </c>
    </row>
    <row r="166" spans="1:4" s="28" customFormat="1" x14ac:dyDescent="0.25">
      <c r="A166" s="28">
        <v>356</v>
      </c>
      <c r="B166" s="28" t="s">
        <v>262</v>
      </c>
      <c r="C166" s="28" t="s">
        <v>101</v>
      </c>
      <c r="D166" s="28" t="s">
        <v>85</v>
      </c>
    </row>
    <row r="167" spans="1:4" s="28" customFormat="1" x14ac:dyDescent="0.25">
      <c r="A167" s="28">
        <v>540</v>
      </c>
      <c r="B167" s="28" t="s">
        <v>263</v>
      </c>
      <c r="C167" s="28" t="s">
        <v>93</v>
      </c>
      <c r="D167" s="28" t="s">
        <v>85</v>
      </c>
    </row>
    <row r="168" spans="1:4" s="28" customFormat="1" x14ac:dyDescent="0.25">
      <c r="A168" s="28">
        <v>660</v>
      </c>
      <c r="B168" s="28" t="s">
        <v>264</v>
      </c>
      <c r="C168" s="28" t="s">
        <v>108</v>
      </c>
      <c r="D168" s="28" t="s">
        <v>85</v>
      </c>
    </row>
    <row r="169" spans="1:4" s="28" customFormat="1" x14ac:dyDescent="0.25">
      <c r="A169" s="28">
        <v>669</v>
      </c>
      <c r="B169" s="28" t="s">
        <v>265</v>
      </c>
      <c r="C169" s="28" t="s">
        <v>87</v>
      </c>
      <c r="D169" s="28" t="s">
        <v>85</v>
      </c>
    </row>
    <row r="170" spans="1:4" s="28" customFormat="1" x14ac:dyDescent="0.25">
      <c r="A170" s="28">
        <v>322</v>
      </c>
      <c r="B170" s="28" t="s">
        <v>266</v>
      </c>
      <c r="C170" s="28" t="s">
        <v>104</v>
      </c>
      <c r="D170" s="28" t="s">
        <v>85</v>
      </c>
    </row>
    <row r="171" spans="1:4" s="28" customFormat="1" x14ac:dyDescent="0.25">
      <c r="A171" s="28">
        <v>157</v>
      </c>
      <c r="B171" s="28" t="s">
        <v>267</v>
      </c>
      <c r="C171" s="28" t="s">
        <v>101</v>
      </c>
      <c r="D171" s="28" t="s">
        <v>85</v>
      </c>
    </row>
    <row r="172" spans="1:4" s="28" customFormat="1" x14ac:dyDescent="0.25">
      <c r="A172" s="28">
        <v>342</v>
      </c>
      <c r="B172" s="28" t="s">
        <v>268</v>
      </c>
      <c r="C172" s="28" t="s">
        <v>104</v>
      </c>
      <c r="D172" s="28" t="s">
        <v>85</v>
      </c>
    </row>
    <row r="173" spans="1:4" s="28" customFormat="1" x14ac:dyDescent="0.25">
      <c r="A173" s="28">
        <v>103</v>
      </c>
      <c r="B173" s="28" t="s">
        <v>269</v>
      </c>
      <c r="C173" s="28" t="s">
        <v>104</v>
      </c>
      <c r="D173" s="28" t="s">
        <v>85</v>
      </c>
    </row>
    <row r="174" spans="1:4" s="28" customFormat="1" x14ac:dyDescent="0.25">
      <c r="A174" s="28">
        <v>364</v>
      </c>
      <c r="B174" s="28" t="s">
        <v>270</v>
      </c>
      <c r="C174" s="28" t="s">
        <v>84</v>
      </c>
      <c r="D174" s="28" t="s">
        <v>85</v>
      </c>
    </row>
    <row r="175" spans="1:4" s="28" customFormat="1" x14ac:dyDescent="0.25">
      <c r="A175" s="28">
        <v>490</v>
      </c>
      <c r="B175" s="28" t="s">
        <v>271</v>
      </c>
      <c r="C175" s="28" t="s">
        <v>101</v>
      </c>
      <c r="D175" s="28" t="s">
        <v>85</v>
      </c>
    </row>
    <row r="176" spans="1:4" s="28" customFormat="1" x14ac:dyDescent="0.25">
      <c r="A176" s="28">
        <v>483</v>
      </c>
      <c r="B176" s="28" t="s">
        <v>272</v>
      </c>
      <c r="C176" s="28" t="s">
        <v>84</v>
      </c>
      <c r="D176" s="28" t="s">
        <v>85</v>
      </c>
    </row>
    <row r="177" spans="1:4" s="28" customFormat="1" x14ac:dyDescent="0.25">
      <c r="A177" s="28">
        <v>525</v>
      </c>
      <c r="B177" s="28" t="s">
        <v>273</v>
      </c>
      <c r="C177" s="28" t="s">
        <v>104</v>
      </c>
      <c r="D177" s="28" t="s">
        <v>85</v>
      </c>
    </row>
    <row r="178" spans="1:4" s="28" customFormat="1" x14ac:dyDescent="0.25">
      <c r="A178" s="28">
        <v>615</v>
      </c>
      <c r="B178" s="28" t="s">
        <v>274</v>
      </c>
      <c r="C178" s="28" t="s">
        <v>95</v>
      </c>
      <c r="D178" s="28" t="s">
        <v>85</v>
      </c>
    </row>
    <row r="179" spans="1:4" s="28" customFormat="1" x14ac:dyDescent="0.25">
      <c r="A179" s="28">
        <v>591</v>
      </c>
      <c r="B179" s="28" t="s">
        <v>275</v>
      </c>
      <c r="C179" s="28" t="s">
        <v>93</v>
      </c>
      <c r="D179" s="28" t="s">
        <v>85</v>
      </c>
    </row>
    <row r="180" spans="1:4" s="28" customFormat="1" x14ac:dyDescent="0.25">
      <c r="A180" s="28">
        <v>191</v>
      </c>
      <c r="B180" s="28" t="s">
        <v>276</v>
      </c>
      <c r="C180" s="28" t="s">
        <v>99</v>
      </c>
      <c r="D180" s="28" t="s">
        <v>85</v>
      </c>
    </row>
    <row r="181" spans="1:4" s="28" customFormat="1" x14ac:dyDescent="0.25">
      <c r="A181" s="28">
        <v>596</v>
      </c>
      <c r="B181" s="28" t="s">
        <v>277</v>
      </c>
      <c r="C181" s="28" t="s">
        <v>84</v>
      </c>
      <c r="D181" s="28" t="s">
        <v>85</v>
      </c>
    </row>
    <row r="182" spans="1:4" s="28" customFormat="1" x14ac:dyDescent="0.25">
      <c r="A182" s="28">
        <v>573</v>
      </c>
      <c r="B182" s="28" t="s">
        <v>278</v>
      </c>
      <c r="C182" s="28" t="s">
        <v>128</v>
      </c>
      <c r="D182" s="28" t="s">
        <v>85</v>
      </c>
    </row>
    <row r="183" spans="1:4" s="28" customFormat="1" x14ac:dyDescent="0.25">
      <c r="A183" s="28">
        <v>595</v>
      </c>
      <c r="B183" s="28" t="s">
        <v>279</v>
      </c>
      <c r="C183" s="28" t="s">
        <v>90</v>
      </c>
      <c r="D183" s="28" t="s">
        <v>85</v>
      </c>
    </row>
    <row r="184" spans="1:4" s="28" customFormat="1" x14ac:dyDescent="0.25">
      <c r="A184" s="28">
        <v>559</v>
      </c>
      <c r="B184" s="28" t="s">
        <v>280</v>
      </c>
      <c r="C184" s="28" t="s">
        <v>108</v>
      </c>
      <c r="D184" s="28" t="s">
        <v>85</v>
      </c>
    </row>
    <row r="185" spans="1:4" s="28" customFormat="1" x14ac:dyDescent="0.25">
      <c r="A185" s="28">
        <v>484</v>
      </c>
      <c r="B185" s="28" t="s">
        <v>281</v>
      </c>
      <c r="C185" s="28" t="s">
        <v>84</v>
      </c>
      <c r="D185" s="28" t="s">
        <v>85</v>
      </c>
    </row>
    <row r="186" spans="1:4" s="28" customFormat="1" x14ac:dyDescent="0.25">
      <c r="A186" s="28">
        <v>629</v>
      </c>
      <c r="B186" s="28" t="s">
        <v>282</v>
      </c>
      <c r="C186" s="28" t="s">
        <v>104</v>
      </c>
      <c r="D186" s="28" t="s">
        <v>85</v>
      </c>
    </row>
    <row r="187" spans="1:4" s="28" customFormat="1" x14ac:dyDescent="0.25">
      <c r="A187" s="28">
        <v>427</v>
      </c>
      <c r="B187" s="28" t="s">
        <v>283</v>
      </c>
      <c r="C187" s="28" t="s">
        <v>84</v>
      </c>
      <c r="D187" s="28" t="s">
        <v>85</v>
      </c>
    </row>
    <row r="188" spans="1:4" s="28" customFormat="1" x14ac:dyDescent="0.25">
      <c r="A188" s="28">
        <v>674</v>
      </c>
      <c r="B188" s="28" t="s">
        <v>284</v>
      </c>
      <c r="C188" s="28" t="s">
        <v>87</v>
      </c>
      <c r="D188" s="28" t="s">
        <v>85</v>
      </c>
    </row>
    <row r="189" spans="1:4" s="28" customFormat="1" x14ac:dyDescent="0.25">
      <c r="A189" s="28">
        <v>639</v>
      </c>
      <c r="B189" s="28" t="s">
        <v>285</v>
      </c>
      <c r="C189" s="28" t="s">
        <v>90</v>
      </c>
      <c r="D189" s="28" t="s">
        <v>85</v>
      </c>
    </row>
    <row r="190" spans="1:4" s="28" customFormat="1" x14ac:dyDescent="0.25">
      <c r="A190" s="28">
        <v>644</v>
      </c>
      <c r="B190" s="28" t="s">
        <v>286</v>
      </c>
      <c r="C190" s="28" t="s">
        <v>84</v>
      </c>
      <c r="D190" s="28" t="s">
        <v>85</v>
      </c>
    </row>
    <row r="191" spans="1:4" s="28" customFormat="1" x14ac:dyDescent="0.25">
      <c r="A191" s="28">
        <v>437</v>
      </c>
      <c r="B191" s="28" t="s">
        <v>287</v>
      </c>
      <c r="C191" s="28" t="s">
        <v>108</v>
      </c>
      <c r="D191" s="28" t="s">
        <v>85</v>
      </c>
    </row>
    <row r="192" spans="1:4" s="28" customFormat="1" x14ac:dyDescent="0.25">
      <c r="A192" s="28">
        <v>659</v>
      </c>
      <c r="B192" s="28" t="s">
        <v>288</v>
      </c>
      <c r="C192" s="28" t="s">
        <v>99</v>
      </c>
      <c r="D192" s="28" t="s">
        <v>85</v>
      </c>
    </row>
    <row r="193" spans="1:4" s="28" customFormat="1" x14ac:dyDescent="0.25">
      <c r="A193" s="28">
        <v>198</v>
      </c>
      <c r="B193" s="28" t="s">
        <v>289</v>
      </c>
      <c r="C193" s="28" t="s">
        <v>128</v>
      </c>
      <c r="D193" s="28" t="s">
        <v>85</v>
      </c>
    </row>
    <row r="194" spans="1:4" s="28" customFormat="1" x14ac:dyDescent="0.25">
      <c r="A194" s="28">
        <v>185</v>
      </c>
      <c r="B194" s="28" t="s">
        <v>290</v>
      </c>
      <c r="C194" s="28" t="s">
        <v>99</v>
      </c>
      <c r="D194" s="28" t="s">
        <v>85</v>
      </c>
    </row>
    <row r="195" spans="1:4" s="28" customFormat="1" x14ac:dyDescent="0.25">
      <c r="A195" s="28">
        <v>183</v>
      </c>
      <c r="B195" s="28" t="s">
        <v>291</v>
      </c>
      <c r="C195" s="28" t="s">
        <v>99</v>
      </c>
      <c r="D195" s="28" t="s">
        <v>85</v>
      </c>
    </row>
    <row r="196" spans="1:4" s="28" customFormat="1" x14ac:dyDescent="0.25">
      <c r="A196" s="28">
        <v>664</v>
      </c>
      <c r="B196" s="28" t="s">
        <v>292</v>
      </c>
      <c r="C196" s="28" t="s">
        <v>293</v>
      </c>
      <c r="D196" s="28" t="s">
        <v>85</v>
      </c>
    </row>
    <row r="197" spans="1:4" s="28" customFormat="1" x14ac:dyDescent="0.25">
      <c r="A197" s="28">
        <v>445</v>
      </c>
      <c r="B197" s="28" t="s">
        <v>294</v>
      </c>
      <c r="C197" s="28" t="s">
        <v>90</v>
      </c>
      <c r="D197" s="28" t="s">
        <v>85</v>
      </c>
    </row>
    <row r="198" spans="1:4" s="28" customFormat="1" x14ac:dyDescent="0.25">
      <c r="A198" s="28">
        <v>375</v>
      </c>
      <c r="B198" s="28" t="s">
        <v>295</v>
      </c>
      <c r="C198" s="28" t="s">
        <v>90</v>
      </c>
      <c r="D198" s="28" t="s">
        <v>85</v>
      </c>
    </row>
    <row r="199" spans="1:4" s="28" customFormat="1" x14ac:dyDescent="0.25">
      <c r="A199" s="28">
        <v>667</v>
      </c>
      <c r="B199" s="28" t="s">
        <v>296</v>
      </c>
      <c r="C199" s="28" t="s">
        <v>87</v>
      </c>
      <c r="D199" s="28" t="s">
        <v>85</v>
      </c>
    </row>
    <row r="200" spans="1:4" s="28" customFormat="1" x14ac:dyDescent="0.25">
      <c r="A200" s="28">
        <v>370</v>
      </c>
      <c r="B200" s="28" t="s">
        <v>297</v>
      </c>
      <c r="C200" s="28" t="s">
        <v>95</v>
      </c>
      <c r="D200" s="28" t="s">
        <v>85</v>
      </c>
    </row>
    <row r="201" spans="1:4" s="28" customFormat="1" x14ac:dyDescent="0.25">
      <c r="A201" s="28">
        <v>110</v>
      </c>
      <c r="B201" s="28" t="s">
        <v>298</v>
      </c>
      <c r="C201" s="28" t="s">
        <v>104</v>
      </c>
      <c r="D201" s="28" t="s">
        <v>85</v>
      </c>
    </row>
    <row r="202" spans="1:4" s="28" customFormat="1" x14ac:dyDescent="0.25">
      <c r="A202" s="28">
        <v>260</v>
      </c>
      <c r="B202" s="28" t="s">
        <v>299</v>
      </c>
      <c r="C202" s="28" t="s">
        <v>104</v>
      </c>
      <c r="D202" s="28" t="s">
        <v>85</v>
      </c>
    </row>
    <row r="203" spans="1:4" s="28" customFormat="1" x14ac:dyDescent="0.25">
      <c r="A203" s="28">
        <v>396</v>
      </c>
      <c r="B203" s="28" t="s">
        <v>300</v>
      </c>
      <c r="C203" s="28" t="s">
        <v>101</v>
      </c>
      <c r="D203" s="28" t="s">
        <v>85</v>
      </c>
    </row>
    <row r="204" spans="1:4" s="28" customFormat="1" x14ac:dyDescent="0.25">
      <c r="A204" s="28">
        <v>412</v>
      </c>
      <c r="B204" s="28" t="s">
        <v>301</v>
      </c>
      <c r="C204" s="28" t="s">
        <v>84</v>
      </c>
      <c r="D204" s="28" t="s">
        <v>85</v>
      </c>
    </row>
    <row r="205" spans="1:4" s="28" customFormat="1" x14ac:dyDescent="0.25">
      <c r="A205" s="28">
        <v>633</v>
      </c>
      <c r="B205" s="28" t="s">
        <v>302</v>
      </c>
      <c r="C205" s="28" t="s">
        <v>104</v>
      </c>
      <c r="D205" s="28" t="s">
        <v>85</v>
      </c>
    </row>
    <row r="206" spans="1:4" s="28" customFormat="1" x14ac:dyDescent="0.25">
      <c r="A206" s="28">
        <v>454</v>
      </c>
      <c r="B206" s="28" t="s">
        <v>303</v>
      </c>
      <c r="C206" s="28" t="s">
        <v>90</v>
      </c>
      <c r="D206" s="28" t="s">
        <v>85</v>
      </c>
    </row>
    <row r="207" spans="1:4" s="28" customFormat="1" x14ac:dyDescent="0.25">
      <c r="A207" s="28">
        <v>142</v>
      </c>
      <c r="B207" s="28" t="s">
        <v>304</v>
      </c>
      <c r="C207" s="28" t="s">
        <v>84</v>
      </c>
      <c r="D207" s="28" t="s">
        <v>85</v>
      </c>
    </row>
    <row r="208" spans="1:4" s="28" customFormat="1" x14ac:dyDescent="0.25">
      <c r="A208" s="28">
        <v>128</v>
      </c>
      <c r="B208" s="28" t="s">
        <v>305</v>
      </c>
      <c r="C208" s="28" t="s">
        <v>90</v>
      </c>
      <c r="D208" s="28" t="s">
        <v>85</v>
      </c>
    </row>
    <row r="209" spans="1:4" s="28" customFormat="1" x14ac:dyDescent="0.25">
      <c r="A209" s="28">
        <v>654</v>
      </c>
      <c r="B209" s="28" t="s">
        <v>306</v>
      </c>
      <c r="C209" s="28" t="s">
        <v>95</v>
      </c>
      <c r="D209" s="28" t="s">
        <v>85</v>
      </c>
    </row>
    <row r="210" spans="1:4" s="28" customFormat="1" x14ac:dyDescent="0.25">
      <c r="A210" s="28">
        <v>607</v>
      </c>
      <c r="B210" s="28" t="s">
        <v>307</v>
      </c>
      <c r="C210" s="28" t="s">
        <v>84</v>
      </c>
      <c r="D210" s="28" t="s">
        <v>85</v>
      </c>
    </row>
    <row r="211" spans="1:4" s="28" customFormat="1" x14ac:dyDescent="0.25">
      <c r="A211" s="28">
        <v>451</v>
      </c>
      <c r="B211" s="28" t="s">
        <v>308</v>
      </c>
      <c r="C211" s="28" t="s">
        <v>90</v>
      </c>
      <c r="D211" s="28" t="s">
        <v>85</v>
      </c>
    </row>
    <row r="212" spans="1:4" s="28" customFormat="1" x14ac:dyDescent="0.25">
      <c r="A212" s="28">
        <v>243</v>
      </c>
      <c r="B212" s="28" t="s">
        <v>309</v>
      </c>
      <c r="C212" s="28" t="s">
        <v>87</v>
      </c>
      <c r="D212" s="28" t="s">
        <v>85</v>
      </c>
    </row>
    <row r="213" spans="1:4" s="28" customFormat="1" x14ac:dyDescent="0.25">
      <c r="A213" s="28">
        <v>424</v>
      </c>
      <c r="B213" s="28" t="s">
        <v>310</v>
      </c>
      <c r="C213" s="28" t="s">
        <v>84</v>
      </c>
      <c r="D213" s="28" t="s">
        <v>85</v>
      </c>
    </row>
    <row r="214" spans="1:4" s="28" customFormat="1" x14ac:dyDescent="0.25">
      <c r="A214" s="28">
        <v>616</v>
      </c>
      <c r="B214" s="28" t="s">
        <v>311</v>
      </c>
      <c r="C214" s="28" t="s">
        <v>128</v>
      </c>
      <c r="D214" s="28" t="s">
        <v>85</v>
      </c>
    </row>
    <row r="215" spans="1:4" s="28" customFormat="1" x14ac:dyDescent="0.25">
      <c r="A215" s="28">
        <v>462</v>
      </c>
      <c r="B215" s="28" t="s">
        <v>312</v>
      </c>
      <c r="C215" s="28" t="s">
        <v>93</v>
      </c>
      <c r="D215" s="28" t="s">
        <v>85</v>
      </c>
    </row>
    <row r="216" spans="1:4" s="28" customFormat="1" x14ac:dyDescent="0.25">
      <c r="A216" s="28">
        <v>369</v>
      </c>
      <c r="B216" s="28" t="s">
        <v>313</v>
      </c>
      <c r="C216" s="28" t="s">
        <v>95</v>
      </c>
      <c r="D216" s="28" t="s">
        <v>85</v>
      </c>
    </row>
    <row r="217" spans="1:4" s="28" customFormat="1" x14ac:dyDescent="0.25">
      <c r="A217" s="28">
        <v>346</v>
      </c>
      <c r="B217" s="28" t="s">
        <v>314</v>
      </c>
      <c r="C217" s="28" t="s">
        <v>95</v>
      </c>
      <c r="D217" s="28" t="s">
        <v>85</v>
      </c>
    </row>
    <row r="218" spans="1:4" s="28" customFormat="1" x14ac:dyDescent="0.25">
      <c r="A218" s="28">
        <v>676</v>
      </c>
      <c r="B218" s="28" t="s">
        <v>315</v>
      </c>
      <c r="C218" s="28" t="s">
        <v>93</v>
      </c>
      <c r="D218" s="28" t="s">
        <v>179</v>
      </c>
    </row>
    <row r="219" spans="1:4" s="28" customFormat="1" x14ac:dyDescent="0.25">
      <c r="A219" s="28">
        <v>602</v>
      </c>
      <c r="B219" s="28" t="s">
        <v>316</v>
      </c>
      <c r="C219" s="28" t="s">
        <v>87</v>
      </c>
      <c r="D219" s="28" t="s">
        <v>85</v>
      </c>
    </row>
    <row r="220" spans="1:4" s="28" customFormat="1" x14ac:dyDescent="0.25">
      <c r="A220" s="28">
        <v>111</v>
      </c>
      <c r="B220" s="28" t="s">
        <v>317</v>
      </c>
      <c r="C220" s="28" t="s">
        <v>104</v>
      </c>
      <c r="D220" s="28" t="s">
        <v>85</v>
      </c>
    </row>
    <row r="221" spans="1:4" s="28" customFormat="1" x14ac:dyDescent="0.25">
      <c r="A221" s="28">
        <v>141</v>
      </c>
      <c r="B221" s="28" t="s">
        <v>318</v>
      </c>
      <c r="C221" s="28" t="s">
        <v>84</v>
      </c>
      <c r="D221" s="28" t="s">
        <v>85</v>
      </c>
    </row>
    <row r="222" spans="1:4" s="28" customFormat="1" x14ac:dyDescent="0.25">
      <c r="A222" s="28">
        <v>655</v>
      </c>
      <c r="B222" s="28" t="s">
        <v>319</v>
      </c>
      <c r="C222" s="28" t="s">
        <v>99</v>
      </c>
      <c r="D222" s="28" t="s">
        <v>85</v>
      </c>
    </row>
    <row r="223" spans="1:4" s="28" customFormat="1" x14ac:dyDescent="0.25">
      <c r="A223" s="28">
        <v>656</v>
      </c>
      <c r="B223" s="28" t="s">
        <v>320</v>
      </c>
      <c r="C223" s="28" t="s">
        <v>99</v>
      </c>
      <c r="D223" s="28" t="s">
        <v>85</v>
      </c>
    </row>
    <row r="224" spans="1:4" s="28" customFormat="1" x14ac:dyDescent="0.25">
      <c r="A224" s="28">
        <v>236</v>
      </c>
      <c r="B224" s="28" t="s">
        <v>321</v>
      </c>
      <c r="C224" s="28" t="s">
        <v>87</v>
      </c>
      <c r="D224" s="28" t="s">
        <v>85</v>
      </c>
    </row>
    <row r="225" spans="1:4" s="28" customFormat="1" x14ac:dyDescent="0.25">
      <c r="A225" s="28">
        <v>584</v>
      </c>
      <c r="B225" s="28" t="s">
        <v>322</v>
      </c>
      <c r="C225" s="28" t="s">
        <v>84</v>
      </c>
      <c r="D225" s="28" t="s">
        <v>85</v>
      </c>
    </row>
    <row r="226" spans="1:4" s="28" customFormat="1" x14ac:dyDescent="0.25">
      <c r="A226" s="28">
        <v>677</v>
      </c>
      <c r="B226" s="28" t="s">
        <v>323</v>
      </c>
      <c r="C226" s="28" t="s">
        <v>93</v>
      </c>
      <c r="D226" s="28" t="s">
        <v>85</v>
      </c>
    </row>
    <row r="227" spans="1:4" s="28" customFormat="1" x14ac:dyDescent="0.25">
      <c r="A227" s="28">
        <v>632</v>
      </c>
      <c r="B227" s="28" t="s">
        <v>324</v>
      </c>
      <c r="C227" s="28" t="s">
        <v>101</v>
      </c>
      <c r="D227" s="28" t="s">
        <v>85</v>
      </c>
    </row>
    <row r="228" spans="1:4" s="28" customFormat="1" x14ac:dyDescent="0.25">
      <c r="A228" s="28">
        <v>212</v>
      </c>
      <c r="B228" s="28" t="s">
        <v>325</v>
      </c>
      <c r="C228" s="28" t="s">
        <v>108</v>
      </c>
      <c r="D228" s="28" t="s">
        <v>85</v>
      </c>
    </row>
    <row r="229" spans="1:4" s="28" customFormat="1" x14ac:dyDescent="0.25">
      <c r="A229" s="28">
        <v>567</v>
      </c>
      <c r="B229" s="28" t="s">
        <v>326</v>
      </c>
      <c r="C229" s="28" t="s">
        <v>128</v>
      </c>
      <c r="D229" s="28" t="s">
        <v>85</v>
      </c>
    </row>
    <row r="230" spans="1:4" s="28" customFormat="1" x14ac:dyDescent="0.25">
      <c r="A230" s="28">
        <v>411</v>
      </c>
      <c r="B230" s="28" t="s">
        <v>327</v>
      </c>
      <c r="C230" s="28" t="s">
        <v>84</v>
      </c>
      <c r="D230" s="28" t="s">
        <v>85</v>
      </c>
    </row>
    <row r="231" spans="1:4" s="28" customFormat="1" x14ac:dyDescent="0.25">
      <c r="A231" s="28">
        <v>534</v>
      </c>
      <c r="B231" s="28" t="s">
        <v>328</v>
      </c>
      <c r="C231" s="28" t="s">
        <v>90</v>
      </c>
      <c r="D231" s="28" t="s">
        <v>85</v>
      </c>
    </row>
    <row r="232" spans="1:4" s="28" customFormat="1" x14ac:dyDescent="0.25">
      <c r="A232" s="28">
        <v>112</v>
      </c>
      <c r="B232" s="28" t="s">
        <v>329</v>
      </c>
      <c r="C232" s="28" t="s">
        <v>104</v>
      </c>
      <c r="D232" s="28" t="s">
        <v>85</v>
      </c>
    </row>
    <row r="233" spans="1:4" s="28" customFormat="1" x14ac:dyDescent="0.25">
      <c r="A233" s="28">
        <v>414</v>
      </c>
      <c r="B233" s="28" t="s">
        <v>330</v>
      </c>
      <c r="C233" s="28" t="s">
        <v>101</v>
      </c>
      <c r="D233" s="28" t="s">
        <v>85</v>
      </c>
    </row>
    <row r="234" spans="1:4" s="28" customFormat="1" x14ac:dyDescent="0.25">
      <c r="A234" s="28">
        <v>662</v>
      </c>
      <c r="B234" s="28" t="s">
        <v>331</v>
      </c>
      <c r="C234" s="28" t="s">
        <v>108</v>
      </c>
      <c r="D234" s="28" t="s">
        <v>85</v>
      </c>
    </row>
    <row r="235" spans="1:4" s="28" customFormat="1" x14ac:dyDescent="0.25">
      <c r="A235" s="28">
        <v>224</v>
      </c>
      <c r="B235" s="28" t="s">
        <v>332</v>
      </c>
      <c r="C235" s="28" t="s">
        <v>99</v>
      </c>
      <c r="D235" s="28" t="s">
        <v>85</v>
      </c>
    </row>
    <row r="236" spans="1:4" s="28" customFormat="1" x14ac:dyDescent="0.25">
      <c r="A236" s="28">
        <v>125</v>
      </c>
      <c r="B236" s="28" t="s">
        <v>333</v>
      </c>
      <c r="C236" s="28" t="s">
        <v>90</v>
      </c>
      <c r="D236" s="28" t="s">
        <v>85</v>
      </c>
    </row>
    <row r="237" spans="1:4" s="28" customFormat="1" x14ac:dyDescent="0.25">
      <c r="A237" s="28">
        <v>340</v>
      </c>
      <c r="B237" s="28" t="s">
        <v>334</v>
      </c>
      <c r="C237" s="28" t="s">
        <v>101</v>
      </c>
      <c r="D237" s="28" t="s">
        <v>85</v>
      </c>
    </row>
    <row r="238" spans="1:4" s="28" customFormat="1" x14ac:dyDescent="0.25">
      <c r="A238" s="28">
        <v>353</v>
      </c>
      <c r="B238" s="28" t="s">
        <v>335</v>
      </c>
      <c r="C238" s="28" t="s">
        <v>84</v>
      </c>
      <c r="D238" s="28" t="s">
        <v>85</v>
      </c>
    </row>
    <row r="239" spans="1:4" s="28" customFormat="1" x14ac:dyDescent="0.25">
      <c r="A239" s="28">
        <v>652</v>
      </c>
      <c r="B239" s="28" t="s">
        <v>336</v>
      </c>
      <c r="C239" s="28" t="s">
        <v>95</v>
      </c>
      <c r="D239" s="28" t="s">
        <v>85</v>
      </c>
    </row>
    <row r="240" spans="1:4" s="28" customFormat="1" x14ac:dyDescent="0.25">
      <c r="A240" s="28">
        <v>357</v>
      </c>
      <c r="B240" s="28" t="s">
        <v>337</v>
      </c>
      <c r="C240" s="28" t="s">
        <v>101</v>
      </c>
      <c r="D240" s="28" t="s">
        <v>85</v>
      </c>
    </row>
    <row r="241" spans="1:4" s="28" customFormat="1" x14ac:dyDescent="0.25">
      <c r="A241" s="28">
        <v>377</v>
      </c>
      <c r="B241" s="28" t="s">
        <v>338</v>
      </c>
      <c r="C241" s="28" t="s">
        <v>84</v>
      </c>
      <c r="D241" s="28" t="s">
        <v>85</v>
      </c>
    </row>
    <row r="242" spans="1:4" s="28" customFormat="1" x14ac:dyDescent="0.25">
      <c r="A242" s="28">
        <v>371</v>
      </c>
      <c r="B242" s="28" t="s">
        <v>339</v>
      </c>
      <c r="C242" s="28" t="s">
        <v>95</v>
      </c>
      <c r="D242" s="28" t="s">
        <v>85</v>
      </c>
    </row>
    <row r="243" spans="1:4" s="28" customFormat="1" x14ac:dyDescent="0.25">
      <c r="A243" s="28">
        <v>446</v>
      </c>
      <c r="B243" s="28" t="s">
        <v>340</v>
      </c>
      <c r="C243" s="28" t="s">
        <v>90</v>
      </c>
      <c r="D243" s="28" t="s">
        <v>85</v>
      </c>
    </row>
    <row r="244" spans="1:4" s="28" customFormat="1" x14ac:dyDescent="0.25">
      <c r="A244" s="28">
        <v>433</v>
      </c>
      <c r="B244" s="28" t="s">
        <v>341</v>
      </c>
      <c r="C244" s="28" t="s">
        <v>84</v>
      </c>
      <c r="D244" s="28" t="s">
        <v>85</v>
      </c>
    </row>
    <row r="245" spans="1:4" s="28" customFormat="1" x14ac:dyDescent="0.25">
      <c r="A245" s="28">
        <v>248</v>
      </c>
      <c r="B245" s="28" t="s">
        <v>342</v>
      </c>
      <c r="C245" s="28" t="s">
        <v>93</v>
      </c>
      <c r="D245" s="28" t="s">
        <v>85</v>
      </c>
    </row>
    <row r="246" spans="1:4" s="28" customFormat="1" x14ac:dyDescent="0.25">
      <c r="A246" s="28">
        <v>472</v>
      </c>
      <c r="B246" s="28" t="s">
        <v>343</v>
      </c>
      <c r="C246" s="28" t="s">
        <v>101</v>
      </c>
      <c r="D246" s="28" t="s">
        <v>85</v>
      </c>
    </row>
    <row r="247" spans="1:4" s="28" customFormat="1" x14ac:dyDescent="0.25">
      <c r="A247" s="28">
        <v>240</v>
      </c>
      <c r="B247" s="28" t="s">
        <v>344</v>
      </c>
      <c r="C247" s="28" t="s">
        <v>87</v>
      </c>
      <c r="D247" s="28" t="s">
        <v>85</v>
      </c>
    </row>
    <row r="248" spans="1:4" s="28" customFormat="1" x14ac:dyDescent="0.25">
      <c r="A248" s="28">
        <v>456</v>
      </c>
      <c r="B248" s="28" t="s">
        <v>345</v>
      </c>
      <c r="C248" s="28" t="s">
        <v>84</v>
      </c>
      <c r="D248" s="28" t="s">
        <v>85</v>
      </c>
    </row>
    <row r="249" spans="1:4" s="28" customFormat="1" x14ac:dyDescent="0.25">
      <c r="A249" s="28">
        <v>217</v>
      </c>
      <c r="B249" s="28" t="s">
        <v>346</v>
      </c>
      <c r="C249" s="28" t="s">
        <v>108</v>
      </c>
      <c r="D249" s="28" t="s">
        <v>85</v>
      </c>
    </row>
    <row r="250" spans="1:4" s="28" customFormat="1" x14ac:dyDescent="0.25">
      <c r="A250" s="28">
        <v>682</v>
      </c>
      <c r="B250" s="28" t="s">
        <v>347</v>
      </c>
      <c r="C250" s="28" t="s">
        <v>159</v>
      </c>
      <c r="D250" s="28" t="s">
        <v>85</v>
      </c>
    </row>
    <row r="251" spans="1:4" s="28" customFormat="1" x14ac:dyDescent="0.25">
      <c r="A251" s="28">
        <v>365</v>
      </c>
      <c r="B251" s="28" t="s">
        <v>348</v>
      </c>
      <c r="C251" s="28" t="s">
        <v>101</v>
      </c>
      <c r="D251" s="28" t="s">
        <v>85</v>
      </c>
    </row>
    <row r="252" spans="1:4" s="28" customFormat="1" x14ac:dyDescent="0.25">
      <c r="A252" s="28">
        <v>138</v>
      </c>
      <c r="B252" s="28" t="s">
        <v>349</v>
      </c>
      <c r="C252" s="28" t="s">
        <v>84</v>
      </c>
      <c r="D252" s="28" t="s">
        <v>85</v>
      </c>
    </row>
    <row r="253" spans="1:4" s="28" customFormat="1" x14ac:dyDescent="0.25">
      <c r="A253" s="28">
        <v>228</v>
      </c>
      <c r="B253" s="28" t="s">
        <v>350</v>
      </c>
      <c r="C253" s="28" t="s">
        <v>293</v>
      </c>
      <c r="D253" s="28" t="s">
        <v>85</v>
      </c>
    </row>
    <row r="254" spans="1:4" s="28" customFormat="1" x14ac:dyDescent="0.25">
      <c r="A254" s="28">
        <v>305</v>
      </c>
      <c r="B254" s="28" t="s">
        <v>351</v>
      </c>
      <c r="C254" s="28" t="s">
        <v>99</v>
      </c>
      <c r="D254" s="28" t="s">
        <v>85</v>
      </c>
    </row>
    <row r="255" spans="1:4" s="28" customFormat="1" x14ac:dyDescent="0.25">
      <c r="A255" s="28">
        <v>202</v>
      </c>
      <c r="B255" s="28" t="s">
        <v>352</v>
      </c>
      <c r="C255" s="28" t="s">
        <v>128</v>
      </c>
      <c r="D255" s="28" t="s">
        <v>85</v>
      </c>
    </row>
    <row r="256" spans="1:4" s="28" customFormat="1" x14ac:dyDescent="0.25">
      <c r="A256" s="28">
        <v>683</v>
      </c>
      <c r="B256" s="28" t="s">
        <v>353</v>
      </c>
      <c r="C256" s="28" t="s">
        <v>99</v>
      </c>
      <c r="D256" s="28" t="s">
        <v>85</v>
      </c>
    </row>
    <row r="257" spans="1:4" s="28" customFormat="1" x14ac:dyDescent="0.25">
      <c r="A257" s="28">
        <v>510</v>
      </c>
      <c r="B257" s="28" t="s">
        <v>354</v>
      </c>
      <c r="C257" s="28" t="s">
        <v>104</v>
      </c>
      <c r="D257" s="28" t="s">
        <v>179</v>
      </c>
    </row>
    <row r="258" spans="1:4" s="28" customFormat="1" x14ac:dyDescent="0.25">
      <c r="A258" s="28">
        <v>603</v>
      </c>
      <c r="B258" s="28" t="s">
        <v>355</v>
      </c>
      <c r="C258" s="28" t="s">
        <v>87</v>
      </c>
      <c r="D258" s="28" t="s">
        <v>85</v>
      </c>
    </row>
    <row r="259" spans="1:4" s="28" customFormat="1" x14ac:dyDescent="0.25">
      <c r="A259" s="28">
        <v>494</v>
      </c>
      <c r="B259" s="28" t="s">
        <v>356</v>
      </c>
      <c r="C259" s="28" t="s">
        <v>90</v>
      </c>
      <c r="D259" s="28" t="s">
        <v>85</v>
      </c>
    </row>
    <row r="260" spans="1:4" s="28" customFormat="1" x14ac:dyDescent="0.25">
      <c r="A260" s="28">
        <v>665</v>
      </c>
      <c r="B260" s="28" t="s">
        <v>357</v>
      </c>
      <c r="C260" s="28" t="s">
        <v>293</v>
      </c>
      <c r="D260" s="28" t="s">
        <v>85</v>
      </c>
    </row>
    <row r="261" spans="1:4" s="28" customFormat="1" x14ac:dyDescent="0.25">
      <c r="A261" s="28">
        <v>304</v>
      </c>
      <c r="B261" s="28" t="s">
        <v>358</v>
      </c>
      <c r="C261" s="28" t="s">
        <v>108</v>
      </c>
      <c r="D261" s="28" t="s">
        <v>85</v>
      </c>
    </row>
    <row r="262" spans="1:4" s="28" customFormat="1" x14ac:dyDescent="0.25">
      <c r="A262" s="28">
        <v>184</v>
      </c>
      <c r="B262" s="28" t="s">
        <v>359</v>
      </c>
      <c r="C262" s="28" t="s">
        <v>99</v>
      </c>
      <c r="D262" s="28" t="s">
        <v>85</v>
      </c>
    </row>
    <row r="263" spans="1:4" s="28" customFormat="1" x14ac:dyDescent="0.25">
      <c r="A263" s="28">
        <v>684</v>
      </c>
      <c r="B263" s="28" t="s">
        <v>360</v>
      </c>
      <c r="C263" s="28" t="s">
        <v>99</v>
      </c>
      <c r="D263" s="28" t="s">
        <v>85</v>
      </c>
    </row>
    <row r="264" spans="1:4" s="28" customFormat="1" x14ac:dyDescent="0.25">
      <c r="A264" s="28">
        <v>430</v>
      </c>
      <c r="B264" s="28" t="s">
        <v>361</v>
      </c>
      <c r="C264" s="28" t="s">
        <v>101</v>
      </c>
      <c r="D264" s="28" t="s">
        <v>85</v>
      </c>
    </row>
    <row r="265" spans="1:4" s="28" customFormat="1" x14ac:dyDescent="0.25">
      <c r="A265" s="28">
        <v>455</v>
      </c>
      <c r="B265" s="28" t="s">
        <v>362</v>
      </c>
      <c r="C265" s="28" t="s">
        <v>84</v>
      </c>
      <c r="D265" s="28" t="s">
        <v>85</v>
      </c>
    </row>
    <row r="266" spans="1:4" s="28" customFormat="1" x14ac:dyDescent="0.25">
      <c r="A266" s="28">
        <v>643</v>
      </c>
      <c r="B266" s="28" t="s">
        <v>363</v>
      </c>
      <c r="C266" s="28" t="s">
        <v>84</v>
      </c>
      <c r="D266" s="28" t="s">
        <v>85</v>
      </c>
    </row>
    <row r="267" spans="1:4" s="28" customFormat="1" x14ac:dyDescent="0.25">
      <c r="A267" s="28">
        <v>612</v>
      </c>
      <c r="B267" s="28" t="s">
        <v>364</v>
      </c>
      <c r="C267" s="28" t="s">
        <v>108</v>
      </c>
      <c r="D267" s="28" t="s">
        <v>85</v>
      </c>
    </row>
    <row r="268" spans="1:4" s="28" customFormat="1" x14ac:dyDescent="0.25">
      <c r="A268" s="28">
        <v>419</v>
      </c>
      <c r="B268" s="28" t="s">
        <v>365</v>
      </c>
      <c r="C268" s="28" t="s">
        <v>99</v>
      </c>
      <c r="D268" s="28" t="s">
        <v>85</v>
      </c>
    </row>
    <row r="269" spans="1:4" s="28" customFormat="1" x14ac:dyDescent="0.25">
      <c r="A269" s="28">
        <v>196</v>
      </c>
      <c r="B269" s="28" t="s">
        <v>366</v>
      </c>
      <c r="C269" s="28" t="s">
        <v>128</v>
      </c>
      <c r="D269" s="28" t="s">
        <v>85</v>
      </c>
    </row>
    <row r="270" spans="1:4" s="28" customFormat="1" x14ac:dyDescent="0.25">
      <c r="A270" s="28">
        <v>190</v>
      </c>
      <c r="B270" s="28" t="s">
        <v>367</v>
      </c>
      <c r="C270" s="28" t="s">
        <v>99</v>
      </c>
      <c r="D270" s="28" t="s">
        <v>85</v>
      </c>
    </row>
    <row r="271" spans="1:4" s="28" customFormat="1" x14ac:dyDescent="0.25">
      <c r="A271" s="28">
        <v>680</v>
      </c>
      <c r="B271" s="28" t="s">
        <v>368</v>
      </c>
      <c r="C271" s="28" t="s">
        <v>93</v>
      </c>
      <c r="D271" s="28" t="s">
        <v>85</v>
      </c>
    </row>
    <row r="272" spans="1:4" s="28" customFormat="1" x14ac:dyDescent="0.25">
      <c r="A272" s="28">
        <v>537</v>
      </c>
      <c r="B272" s="28" t="s">
        <v>369</v>
      </c>
      <c r="C272" s="28" t="s">
        <v>93</v>
      </c>
      <c r="D272" s="28" t="s">
        <v>85</v>
      </c>
    </row>
    <row r="273" spans="1:4" s="28" customFormat="1" x14ac:dyDescent="0.25">
      <c r="A273" s="28">
        <v>593</v>
      </c>
      <c r="B273" s="28" t="s">
        <v>370</v>
      </c>
      <c r="C273" s="28" t="s">
        <v>93</v>
      </c>
      <c r="D273" s="28" t="s">
        <v>85</v>
      </c>
    </row>
    <row r="274" spans="1:4" s="28" customFormat="1" x14ac:dyDescent="0.25">
      <c r="A274" s="28">
        <v>592</v>
      </c>
      <c r="B274" s="28" t="s">
        <v>371</v>
      </c>
      <c r="C274" s="28" t="s">
        <v>93</v>
      </c>
      <c r="D274" s="28" t="s">
        <v>85</v>
      </c>
    </row>
    <row r="275" spans="1:4" s="28" customFormat="1" x14ac:dyDescent="0.25">
      <c r="A275" s="28">
        <v>452</v>
      </c>
      <c r="B275" s="28" t="s">
        <v>372</v>
      </c>
      <c r="C275" s="28" t="s">
        <v>95</v>
      </c>
      <c r="D275" s="28" t="s">
        <v>85</v>
      </c>
    </row>
    <row r="276" spans="1:4" s="28" customFormat="1" x14ac:dyDescent="0.25">
      <c r="A276" s="28">
        <v>355</v>
      </c>
      <c r="B276" s="28" t="s">
        <v>373</v>
      </c>
      <c r="C276" s="28" t="s">
        <v>131</v>
      </c>
      <c r="D276" s="28" t="s">
        <v>85</v>
      </c>
    </row>
    <row r="277" spans="1:4" s="28" customFormat="1" x14ac:dyDescent="0.25">
      <c r="A277" s="28">
        <v>637</v>
      </c>
      <c r="B277" s="28" t="s">
        <v>374</v>
      </c>
      <c r="C277" s="28" t="s">
        <v>104</v>
      </c>
      <c r="D277" s="28" t="s">
        <v>85</v>
      </c>
    </row>
    <row r="278" spans="1:4" s="28" customFormat="1" x14ac:dyDescent="0.25">
      <c r="A278" s="28">
        <v>230</v>
      </c>
      <c r="B278" s="28" t="s">
        <v>375</v>
      </c>
      <c r="C278" s="28" t="s">
        <v>293</v>
      </c>
      <c r="D278" s="28" t="s">
        <v>85</v>
      </c>
    </row>
    <row r="279" spans="1:4" s="28" customFormat="1" x14ac:dyDescent="0.25">
      <c r="A279" s="28">
        <v>330</v>
      </c>
      <c r="B279" s="28" t="s">
        <v>376</v>
      </c>
      <c r="C279" s="28" t="s">
        <v>108</v>
      </c>
      <c r="D279" s="28" t="s">
        <v>85</v>
      </c>
    </row>
    <row r="280" spans="1:4" s="28" customFormat="1" x14ac:dyDescent="0.25">
      <c r="A280" s="28">
        <v>638</v>
      </c>
      <c r="B280" s="28" t="s">
        <v>377</v>
      </c>
      <c r="C280" s="28" t="s">
        <v>104</v>
      </c>
      <c r="D280" s="28" t="s">
        <v>85</v>
      </c>
    </row>
    <row r="281" spans="1:4" s="28" customFormat="1" x14ac:dyDescent="0.25">
      <c r="A281" s="28">
        <v>333</v>
      </c>
      <c r="B281" s="28" t="s">
        <v>378</v>
      </c>
      <c r="C281" s="28" t="s">
        <v>90</v>
      </c>
      <c r="D281" s="28" t="s">
        <v>85</v>
      </c>
    </row>
    <row r="282" spans="1:4" s="28" customFormat="1" x14ac:dyDescent="0.25">
      <c r="A282" s="28">
        <v>434</v>
      </c>
      <c r="B282" s="28" t="s">
        <v>379</v>
      </c>
      <c r="C282" s="28" t="s">
        <v>99</v>
      </c>
      <c r="D282" s="28" t="s">
        <v>85</v>
      </c>
    </row>
    <row r="283" spans="1:4" s="28" customFormat="1" x14ac:dyDescent="0.25">
      <c r="A283" s="28">
        <v>189</v>
      </c>
      <c r="B283" s="28" t="s">
        <v>380</v>
      </c>
      <c r="C283" s="28" t="s">
        <v>99</v>
      </c>
      <c r="D283" s="28" t="s">
        <v>85</v>
      </c>
    </row>
    <row r="284" spans="1:4" s="28" customFormat="1" x14ac:dyDescent="0.25">
      <c r="A284" s="28">
        <v>428</v>
      </c>
      <c r="B284" s="28" t="s">
        <v>381</v>
      </c>
      <c r="C284" s="28" t="s">
        <v>131</v>
      </c>
      <c r="D284" s="28" t="s">
        <v>85</v>
      </c>
    </row>
    <row r="285" spans="1:4" s="28" customFormat="1" x14ac:dyDescent="0.25">
      <c r="A285" s="28">
        <v>645</v>
      </c>
      <c r="B285" s="28" t="s">
        <v>382</v>
      </c>
      <c r="C285" s="28" t="s">
        <v>84</v>
      </c>
      <c r="D285" s="28" t="s">
        <v>85</v>
      </c>
    </row>
    <row r="286" spans="1:4" s="28" customFormat="1" x14ac:dyDescent="0.25">
      <c r="A286" s="28">
        <v>164</v>
      </c>
      <c r="B286" s="28" t="s">
        <v>383</v>
      </c>
      <c r="C286" s="28" t="s">
        <v>101</v>
      </c>
      <c r="D286" s="28" t="s">
        <v>85</v>
      </c>
    </row>
    <row r="287" spans="1:4" s="28" customFormat="1" x14ac:dyDescent="0.25">
      <c r="A287" s="28">
        <v>491</v>
      </c>
      <c r="B287" s="28" t="s">
        <v>384</v>
      </c>
      <c r="C287" s="28" t="s">
        <v>84</v>
      </c>
      <c r="D287" s="28" t="s">
        <v>85</v>
      </c>
    </row>
    <row r="288" spans="1:4" s="28" customFormat="1" x14ac:dyDescent="0.25">
      <c r="A288" s="28">
        <v>539</v>
      </c>
      <c r="B288" s="28" t="s">
        <v>385</v>
      </c>
      <c r="C288" s="28" t="s">
        <v>104</v>
      </c>
      <c r="D288" s="28" t="s">
        <v>85</v>
      </c>
    </row>
    <row r="289" spans="1:4" s="28" customFormat="1" x14ac:dyDescent="0.25">
      <c r="A289" s="28">
        <v>679</v>
      </c>
      <c r="B289" s="28" t="s">
        <v>386</v>
      </c>
      <c r="C289" s="28" t="s">
        <v>93</v>
      </c>
      <c r="D289" s="28" t="s">
        <v>85</v>
      </c>
    </row>
    <row r="290" spans="1:4" s="28" customFormat="1" x14ac:dyDescent="0.25">
      <c r="A290" s="28">
        <v>246</v>
      </c>
      <c r="B290" s="28" t="s">
        <v>387</v>
      </c>
      <c r="C290" s="28" t="s">
        <v>93</v>
      </c>
      <c r="D290" s="28" t="s">
        <v>85</v>
      </c>
    </row>
    <row r="291" spans="1:4" s="28" customFormat="1" x14ac:dyDescent="0.25">
      <c r="A291" s="28">
        <v>211</v>
      </c>
      <c r="B291" s="28" t="s">
        <v>388</v>
      </c>
      <c r="C291" s="28" t="s">
        <v>108</v>
      </c>
      <c r="D291" s="28" t="s">
        <v>85</v>
      </c>
    </row>
    <row r="292" spans="1:4" s="28" customFormat="1" x14ac:dyDescent="0.25">
      <c r="A292" s="28">
        <v>225</v>
      </c>
      <c r="B292" s="28" t="s">
        <v>389</v>
      </c>
      <c r="C292" s="28" t="s">
        <v>293</v>
      </c>
      <c r="D292" s="28" t="s">
        <v>85</v>
      </c>
    </row>
    <row r="293" spans="1:4" s="28" customFormat="1" x14ac:dyDescent="0.25">
      <c r="A293" s="28">
        <v>691</v>
      </c>
      <c r="B293" s="28" t="s">
        <v>390</v>
      </c>
      <c r="C293" s="28" t="s">
        <v>293</v>
      </c>
      <c r="D293" s="28" t="s">
        <v>85</v>
      </c>
    </row>
    <row r="294" spans="1:4" s="28" customFormat="1" x14ac:dyDescent="0.25">
      <c r="A294" s="28">
        <v>349</v>
      </c>
      <c r="B294" s="28" t="s">
        <v>391</v>
      </c>
      <c r="C294" s="28" t="s">
        <v>87</v>
      </c>
      <c r="D294" s="28" t="s">
        <v>85</v>
      </c>
    </row>
    <row r="295" spans="1:4" s="28" customFormat="1" x14ac:dyDescent="0.25">
      <c r="A295" s="28">
        <v>589</v>
      </c>
      <c r="B295" s="28" t="s">
        <v>392</v>
      </c>
      <c r="C295" s="28" t="s">
        <v>93</v>
      </c>
      <c r="D295" s="28" t="s">
        <v>85</v>
      </c>
    </row>
    <row r="296" spans="1:4" s="28" customFormat="1" x14ac:dyDescent="0.25">
      <c r="A296" s="28">
        <v>194</v>
      </c>
      <c r="B296" s="28" t="s">
        <v>393</v>
      </c>
      <c r="C296" s="28" t="s">
        <v>128</v>
      </c>
      <c r="D296" s="28" t="s">
        <v>85</v>
      </c>
    </row>
    <row r="297" spans="1:4" s="28" customFormat="1" x14ac:dyDescent="0.25">
      <c r="A297" s="28">
        <v>599</v>
      </c>
      <c r="B297" s="28" t="s">
        <v>394</v>
      </c>
      <c r="C297" s="28" t="s">
        <v>87</v>
      </c>
      <c r="D297" s="28" t="s">
        <v>85</v>
      </c>
    </row>
    <row r="298" spans="1:4" s="28" customFormat="1" x14ac:dyDescent="0.25">
      <c r="A298" s="28">
        <v>134</v>
      </c>
      <c r="B298" s="28" t="s">
        <v>395</v>
      </c>
      <c r="C298" s="28" t="s">
        <v>84</v>
      </c>
      <c r="D298" s="28" t="s">
        <v>85</v>
      </c>
    </row>
    <row r="299" spans="1:4" s="28" customFormat="1" x14ac:dyDescent="0.25">
      <c r="A299" s="28">
        <v>420</v>
      </c>
      <c r="B299" s="28" t="s">
        <v>396</v>
      </c>
      <c r="C299" s="28" t="s">
        <v>128</v>
      </c>
      <c r="D299" s="28" t="s">
        <v>85</v>
      </c>
    </row>
    <row r="300" spans="1:4" s="28" customFormat="1" x14ac:dyDescent="0.25">
      <c r="A300" s="28">
        <v>140</v>
      </c>
      <c r="B300" s="28" t="s">
        <v>397</v>
      </c>
      <c r="C300" s="28" t="s">
        <v>84</v>
      </c>
      <c r="D300" s="28" t="s">
        <v>85</v>
      </c>
    </row>
    <row r="301" spans="1:4" s="28" customFormat="1" x14ac:dyDescent="0.25">
      <c r="A301" s="28">
        <v>394</v>
      </c>
      <c r="B301" s="28" t="s">
        <v>398</v>
      </c>
      <c r="C301" s="28" t="s">
        <v>95</v>
      </c>
      <c r="D301" s="28" t="s">
        <v>85</v>
      </c>
    </row>
    <row r="302" spans="1:4" s="28" customFormat="1" x14ac:dyDescent="0.25">
      <c r="A302" s="28">
        <v>675</v>
      </c>
      <c r="B302" s="28" t="s">
        <v>399</v>
      </c>
      <c r="C302" s="28" t="s">
        <v>93</v>
      </c>
      <c r="D302" s="28" t="s">
        <v>85</v>
      </c>
    </row>
    <row r="303" spans="1:4" s="28" customFormat="1" x14ac:dyDescent="0.25">
      <c r="A303" s="28">
        <v>613</v>
      </c>
      <c r="B303" s="28" t="s">
        <v>400</v>
      </c>
      <c r="C303" s="28" t="s">
        <v>293</v>
      </c>
      <c r="D303" s="28" t="s">
        <v>85</v>
      </c>
    </row>
    <row r="304" spans="1:4" s="28" customFormat="1" x14ac:dyDescent="0.25">
      <c r="A304" s="28">
        <v>668</v>
      </c>
      <c r="B304" s="28" t="s">
        <v>401</v>
      </c>
      <c r="C304" s="28" t="s">
        <v>87</v>
      </c>
      <c r="D304" s="28" t="s">
        <v>85</v>
      </c>
    </row>
    <row r="305" spans="1:4" s="28" customFormat="1" x14ac:dyDescent="0.25">
      <c r="A305" s="28">
        <v>148</v>
      </c>
      <c r="B305" s="28" t="s">
        <v>402</v>
      </c>
      <c r="C305" s="28" t="s">
        <v>131</v>
      </c>
      <c r="D305" s="28" t="s">
        <v>85</v>
      </c>
    </row>
    <row r="306" spans="1:4" s="28" customFormat="1" x14ac:dyDescent="0.25">
      <c r="A306" s="28">
        <v>247</v>
      </c>
      <c r="B306" s="28" t="s">
        <v>403</v>
      </c>
      <c r="C306" s="28" t="s">
        <v>93</v>
      </c>
      <c r="D306" s="28" t="s">
        <v>85</v>
      </c>
    </row>
    <row r="307" spans="1:4" s="28" customFormat="1" x14ac:dyDescent="0.25">
      <c r="A307" s="28">
        <v>453</v>
      </c>
      <c r="B307" s="28" t="s">
        <v>404</v>
      </c>
      <c r="C307" s="28" t="s">
        <v>95</v>
      </c>
      <c r="D307" s="28" t="s">
        <v>85</v>
      </c>
    </row>
    <row r="308" spans="1:4" s="28" customFormat="1" x14ac:dyDescent="0.25">
      <c r="A308" s="28">
        <v>594</v>
      </c>
      <c r="B308" s="28" t="s">
        <v>405</v>
      </c>
      <c r="C308" s="28" t="s">
        <v>87</v>
      </c>
      <c r="D308" s="28" t="s">
        <v>85</v>
      </c>
    </row>
    <row r="309" spans="1:4" s="28" customFormat="1" x14ac:dyDescent="0.25">
      <c r="A309" s="28">
        <v>480</v>
      </c>
      <c r="B309" s="28" t="s">
        <v>406</v>
      </c>
      <c r="C309" s="28" t="s">
        <v>87</v>
      </c>
      <c r="D309" s="28" t="s">
        <v>85</v>
      </c>
    </row>
    <row r="310" spans="1:4" s="28" customFormat="1" x14ac:dyDescent="0.25">
      <c r="A310" s="28">
        <v>300</v>
      </c>
      <c r="B310" s="28" t="s">
        <v>407</v>
      </c>
      <c r="C310" s="28" t="s">
        <v>95</v>
      </c>
      <c r="D310" s="28" t="s">
        <v>85</v>
      </c>
    </row>
    <row r="311" spans="1:4" s="28" customFormat="1" x14ac:dyDescent="0.25">
      <c r="A311" s="28">
        <v>393</v>
      </c>
      <c r="B311" s="28" t="s">
        <v>408</v>
      </c>
      <c r="C311" s="28" t="s">
        <v>84</v>
      </c>
      <c r="D311" s="28" t="s">
        <v>85</v>
      </c>
    </row>
    <row r="312" spans="1:4" s="28" customFormat="1" x14ac:dyDescent="0.25">
      <c r="A312" s="28">
        <v>604</v>
      </c>
      <c r="B312" s="28" t="s">
        <v>409</v>
      </c>
      <c r="C312" s="28" t="s">
        <v>87</v>
      </c>
      <c r="D312" s="28" t="s">
        <v>85</v>
      </c>
    </row>
    <row r="313" spans="1:4" s="28" customFormat="1" x14ac:dyDescent="0.25">
      <c r="A313" s="28">
        <v>335</v>
      </c>
      <c r="B313" s="28" t="s">
        <v>410</v>
      </c>
      <c r="C313" s="28" t="s">
        <v>99</v>
      </c>
      <c r="D313" s="28" t="s">
        <v>85</v>
      </c>
    </row>
    <row r="314" spans="1:4" s="28" customFormat="1" x14ac:dyDescent="0.25">
      <c r="A314" s="28">
        <v>469</v>
      </c>
      <c r="B314" s="28" t="s">
        <v>411</v>
      </c>
      <c r="C314" s="28" t="s">
        <v>84</v>
      </c>
      <c r="D314" s="28" t="s">
        <v>85</v>
      </c>
    </row>
    <row r="315" spans="1:4" s="28" customFormat="1" x14ac:dyDescent="0.25">
      <c r="A315" s="28">
        <v>597</v>
      </c>
      <c r="B315" s="28" t="s">
        <v>412</v>
      </c>
      <c r="C315" s="28" t="s">
        <v>99</v>
      </c>
      <c r="D315" s="28" t="s">
        <v>85</v>
      </c>
    </row>
    <row r="316" spans="1:4" s="28" customFormat="1" x14ac:dyDescent="0.25">
      <c r="A316" s="28">
        <v>130</v>
      </c>
      <c r="B316" s="28" t="s">
        <v>413</v>
      </c>
      <c r="C316" s="28" t="s">
        <v>84</v>
      </c>
      <c r="D316" s="28" t="s">
        <v>85</v>
      </c>
    </row>
    <row r="317" spans="1:4" s="28" customFormat="1" x14ac:dyDescent="0.25">
      <c r="A317" s="28">
        <v>647</v>
      </c>
      <c r="B317" s="28" t="s">
        <v>414</v>
      </c>
      <c r="C317" s="28" t="s">
        <v>90</v>
      </c>
      <c r="D317" s="28" t="s">
        <v>85</v>
      </c>
    </row>
    <row r="318" spans="1:4" s="28" customFormat="1" x14ac:dyDescent="0.25">
      <c r="A318" s="28">
        <v>658</v>
      </c>
      <c r="B318" s="28" t="s">
        <v>415</v>
      </c>
      <c r="C318" s="28" t="s">
        <v>99</v>
      </c>
      <c r="D318" s="28" t="s">
        <v>179</v>
      </c>
    </row>
    <row r="319" spans="1:4" s="28" customFormat="1" x14ac:dyDescent="0.25">
      <c r="A319" s="28">
        <v>650</v>
      </c>
      <c r="B319" s="28" t="s">
        <v>416</v>
      </c>
      <c r="C319" s="28" t="s">
        <v>101</v>
      </c>
      <c r="D319" s="28" t="s">
        <v>85</v>
      </c>
    </row>
  </sheetData>
  <autoFilter ref="A1:D319"/>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5"/>
  <sheetFormatPr defaultRowHeight="15" outlineLevelRow="0" outlineLevelCol="0" x14ac:dyDescent="55"/>
  <sheetData>
    <row r="1" spans="1:10" x14ac:dyDescent="0.25">
      <c r="A1" t="s">
        <v>417</v>
      </c>
      <c r="B1" t="s">
        <v>418</v>
      </c>
      <c r="C1" t="s">
        <v>419</v>
      </c>
      <c r="D1" t="s">
        <v>420</v>
      </c>
      <c r="E1" t="s">
        <v>421</v>
      </c>
      <c r="F1" t="s">
        <v>422</v>
      </c>
      <c r="G1" t="s">
        <v>423</v>
      </c>
      <c r="H1" t="s">
        <v>424</v>
      </c>
      <c r="J1" t="s">
        <v>425</v>
      </c>
    </row>
    <row r="2" spans="1:10" x14ac:dyDescent="0.25">
      <c r="A2" t="s">
        <v>426</v>
      </c>
      <c r="B2" t="s">
        <v>427</v>
      </c>
      <c r="C2" t="s">
        <v>428</v>
      </c>
      <c r="D2" t="s">
        <v>159</v>
      </c>
      <c r="E2" t="s">
        <v>429</v>
      </c>
      <c r="F2" t="s">
        <v>430</v>
      </c>
      <c r="G2" t="s">
        <v>431</v>
      </c>
      <c r="H2" t="s">
        <v>432</v>
      </c>
      <c r="J2" t="s">
        <v>433</v>
      </c>
    </row>
    <row r="3" spans="1:8" x14ac:dyDescent="0.25">
      <c r="A3">
        <f>IF('Workout 1'!$O$1="FILL",'Workout 1'!$C$3,"")</f>
      </c>
      <c r="B3" t="s">
        <v>434</v>
      </c>
      <c r="C3" t="s">
        <v>435</v>
      </c>
      <c r="D3" t="s">
        <v>84</v>
      </c>
      <c r="E3" t="s">
        <v>436</v>
      </c>
      <c r="F3" t="s">
        <v>437</v>
      </c>
      <c r="G3" t="s">
        <v>438</v>
      </c>
      <c r="H3" t="s">
        <v>439</v>
      </c>
    </row>
    <row r="4" spans="1:8" x14ac:dyDescent="0.25">
      <c r="A4">
        <f>IF('Workout 2'!$O$1="FILL",'Workout 2'!$C$3,"")</f>
      </c>
      <c r="B4" t="s">
        <v>440</v>
      </c>
      <c r="C4" t="s">
        <v>441</v>
      </c>
      <c r="D4" t="s">
        <v>101</v>
      </c>
      <c r="E4" t="s">
        <v>442</v>
      </c>
      <c r="G4" t="s">
        <v>443</v>
      </c>
      <c r="H4" t="s">
        <v>444</v>
      </c>
    </row>
    <row r="5" spans="1:8" x14ac:dyDescent="0.25">
      <c r="A5">
        <f>IF('Workout 3'!$O$1="FILL",'Workout 3'!$C$3,"")</f>
      </c>
      <c r="B5" t="s">
        <v>445</v>
      </c>
      <c r="C5" t="s">
        <v>446</v>
      </c>
      <c r="D5" t="s">
        <v>293</v>
      </c>
      <c r="E5" t="s">
        <v>447</v>
      </c>
      <c r="G5" t="s">
        <v>93</v>
      </c>
      <c r="H5" t="s">
        <v>448</v>
      </c>
    </row>
    <row r="6" spans="1:8" x14ac:dyDescent="0.25">
      <c r="A6">
        <f>IF('Workout 4'!$O$1="FILL",'Workout 4'!$C$3,"")</f>
      </c>
      <c r="B6" t="s">
        <v>449</v>
      </c>
      <c r="C6" t="s">
        <v>450</v>
      </c>
      <c r="D6" t="s">
        <v>104</v>
      </c>
      <c r="E6" t="s">
        <v>451</v>
      </c>
      <c r="G6" t="s">
        <v>452</v>
      </c>
      <c r="H6" t="s">
        <v>453</v>
      </c>
    </row>
    <row r="7" spans="1:8" x14ac:dyDescent="0.25">
      <c r="A7">
        <f>IF('Workout 5'!$O$1="FILL",'Workout 5'!$C$3,"")</f>
      </c>
      <c r="B7" t="s">
        <v>454</v>
      </c>
      <c r="C7" t="s">
        <v>455</v>
      </c>
      <c r="D7" t="s">
        <v>93</v>
      </c>
      <c r="E7" t="s">
        <v>456</v>
      </c>
      <c r="G7" t="s">
        <v>457</v>
      </c>
      <c r="H7" t="s">
        <v>458</v>
      </c>
    </row>
    <row r="8" spans="1:8" x14ac:dyDescent="0.25">
      <c r="A8">
        <f>IF('Workout 6'!$O$1="FILL",'Workout 6'!$C$3,"")</f>
      </c>
      <c r="B8" t="s">
        <v>459</v>
      </c>
      <c r="C8" t="s">
        <v>460</v>
      </c>
      <c r="D8" t="s">
        <v>87</v>
      </c>
      <c r="E8" t="s">
        <v>461</v>
      </c>
      <c r="G8" t="s">
        <v>462</v>
      </c>
      <c r="H8" t="s">
        <v>463</v>
      </c>
    </row>
    <row r="9" spans="1:8" x14ac:dyDescent="0.25">
      <c r="A9">
        <f>IF('Workout 7'!$O$1="FILL",'Workout 7'!$C$3,"")</f>
      </c>
      <c r="B9" t="s">
        <v>464</v>
      </c>
      <c r="C9" t="s">
        <v>465</v>
      </c>
      <c r="D9" t="s">
        <v>134</v>
      </c>
      <c r="E9" t="s">
        <v>466</v>
      </c>
      <c r="G9" t="s">
        <v>467</v>
      </c>
      <c r="H9" t="s">
        <v>468</v>
      </c>
    </row>
    <row r="10" spans="1:5" x14ac:dyDescent="0.25">
      <c r="A10">
        <f>IF('Workout 8'!$O$1="FILL",'Workout 8'!$C$3,"")</f>
      </c>
      <c r="D10" t="s">
        <v>108</v>
      </c>
      <c r="E10" t="s">
        <v>469</v>
      </c>
    </row>
    <row r="11" spans="1:5" x14ac:dyDescent="0.25">
      <c r="A11">
        <f>IF('Workout 9'!$O$1="FILL",'Workout 9'!$C$3,"")</f>
      </c>
      <c r="D11" t="s">
        <v>128</v>
      </c>
      <c r="E11" t="s">
        <v>470</v>
      </c>
    </row>
    <row r="12" spans="1:4" x14ac:dyDescent="0.25">
      <c r="A12">
        <f>IF('Workout 10'!$O$1="FILL",'Workout 10'!$C$3,"")</f>
      </c>
      <c r="D12" t="s">
        <v>99</v>
      </c>
    </row>
    <row r="13" spans="1:4" x14ac:dyDescent="0.25">
      <c r="A13">
        <f>IF('Workout 11'!$O$1="FILL",'Workout 11'!$C$3,"")</f>
      </c>
      <c r="D13" t="s">
        <v>90</v>
      </c>
    </row>
    <row r="14" spans="1:4" x14ac:dyDescent="0.25">
      <c r="A14">
        <f>IF('Workout 12'!$O$1="FILL",'Workout 12'!$C$3,"")</f>
      </c>
      <c r="D14" t="s">
        <v>131</v>
      </c>
    </row>
    <row r="15" spans="4:4" x14ac:dyDescent="0.25">
      <c r="D15" t="s">
        <v>95</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Start</vt:lpstr>
      <vt:lpstr>Workout 1</vt:lpstr>
      <vt:lpstr>Workout 2</vt:lpstr>
      <vt:lpstr>Workout 3</vt:lpstr>
      <vt:lpstr>Workout 4</vt:lpstr>
      <vt:lpstr>Workout 5</vt:lpstr>
      <vt:lpstr>Workout 6</vt:lpstr>
      <vt:lpstr>Workout 7</vt:lpstr>
      <vt:lpstr>Workout 8</vt:lpstr>
      <vt:lpstr>Workout 9</vt:lpstr>
      <vt:lpstr>Workout 10</vt:lpstr>
      <vt:lpstr>Workout 11</vt:lpstr>
      <vt:lpstr>Workout 12</vt:lpstr>
      <vt:lpstr>Schedule</vt:lpstr>
      <vt:lpstr>Exercise Library</vt:lpstr>
      <vt:lpstr>Lists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RepLab</dc:creator>
  <dc:title/>
  <dc:subject/>
  <dc:description/>
  <cp:keywords/>
  <cp:category/>
  <cp:lastModifiedBy>Unknown</cp:lastModifiedBy>
  <dcterms:created xsi:type="dcterms:W3CDTF">2026-10-12T00:48:55Z</dcterms:created>
  <dcterms:modified xsi:type="dcterms:W3CDTF">2026-10-12T00:48:55Z</dcterms:modified>
</cp:coreProperties>
</file>